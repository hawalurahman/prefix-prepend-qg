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https://univindonesia-my.sharepoint.com/personal/halim_wildan_office_ui_ac_id/Documents/001 Projects/004 Paper Research/005 Prefix-Prepend PeerJ/"/>
    </mc:Choice>
  </mc:AlternateContent>
  <xr:revisionPtr revIDLastSave="927" documentId="8_{819A5878-0279-2945-963B-0EA65CF8AA79}" xr6:coauthVersionLast="47" xr6:coauthVersionMax="47" xr10:uidLastSave="{0B6A29AD-0C26-0549-AAD7-C42B9B19DB8B}"/>
  <bookViews>
    <workbookView xWindow="0" yWindow="760" windowWidth="30240" windowHeight="18880" activeTab="6" xr2:uid="{91024A7D-C5EE-EF4F-9048-CB15DCEC28CC}"/>
  </bookViews>
  <sheets>
    <sheet name="Sheet1" sheetId="1" r:id="rId1"/>
    <sheet name="Sheet2" sheetId="2" r:id="rId2"/>
    <sheet name="Sheet3" sheetId="3" r:id="rId3"/>
    <sheet name="Sheet4" sheetId="4" r:id="rId4"/>
    <sheet name="ablation studies qg" sheetId="5" r:id="rId5"/>
    <sheet name="ablation studies ae" sheetId="7" r:id="rId6"/>
    <sheet name="t-test" sheetId="8" r:id="rId7"/>
  </sheets>
  <definedNames>
    <definedName name="_xlnm._FilterDatabase" localSheetId="6" hidden="1">'t-test'!$A$1:$I$1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8" l="1"/>
  <c r="M17" i="8" s="1"/>
  <c r="L17" i="8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" i="5"/>
  <c r="T4" i="5"/>
  <c r="T5" i="5"/>
  <c r="T6" i="5"/>
  <c r="T7" i="5"/>
  <c r="T2" i="5"/>
  <c r="S2" i="5"/>
  <c r="R2" i="5"/>
  <c r="Q2" i="5"/>
  <c r="I57" i="7"/>
  <c r="I58" i="7"/>
  <c r="I59" i="7"/>
  <c r="J57" i="7"/>
  <c r="J58" i="7"/>
  <c r="J59" i="7"/>
  <c r="K57" i="7"/>
  <c r="K58" i="7"/>
  <c r="K59" i="7"/>
  <c r="L57" i="7"/>
  <c r="L58" i="7"/>
  <c r="L59" i="7"/>
  <c r="I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J54" i="7"/>
  <c r="J55" i="7"/>
  <c r="J56" i="7"/>
  <c r="K54" i="7"/>
  <c r="K55" i="7"/>
  <c r="K56" i="7"/>
  <c r="L54" i="7"/>
  <c r="L55" i="7"/>
  <c r="L56" i="7"/>
  <c r="L2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K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J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S6" i="2"/>
  <c r="T6" i="2"/>
  <c r="U6" i="2"/>
  <c r="V6" i="2"/>
  <c r="S9" i="2"/>
  <c r="T9" i="2"/>
  <c r="U9" i="2"/>
  <c r="V9" i="2"/>
  <c r="S12" i="2"/>
  <c r="T12" i="2"/>
  <c r="U12" i="2"/>
  <c r="V12" i="2"/>
  <c r="V3" i="2"/>
  <c r="U3" i="2"/>
  <c r="T3" i="2"/>
  <c r="S3" i="2"/>
  <c r="O6" i="2"/>
  <c r="P6" i="2"/>
  <c r="Q6" i="2"/>
  <c r="R6" i="2"/>
  <c r="O9" i="2"/>
  <c r="P9" i="2"/>
  <c r="Q9" i="2"/>
  <c r="R9" i="2"/>
  <c r="O12" i="2"/>
  <c r="P12" i="2"/>
  <c r="Q12" i="2"/>
  <c r="R12" i="2"/>
  <c r="R3" i="2"/>
  <c r="Q3" i="2"/>
  <c r="P3" i="2"/>
  <c r="O3" i="2"/>
  <c r="L95" i="8"/>
  <c r="L93" i="8"/>
  <c r="L97" i="8"/>
  <c r="L96" i="8"/>
  <c r="L94" i="8"/>
  <c r="L91" i="8"/>
  <c r="L77" i="8"/>
  <c r="L78" i="8"/>
  <c r="L55" i="8"/>
  <c r="L50" i="8"/>
  <c r="L89" i="8"/>
  <c r="L75" i="8"/>
  <c r="L90" i="8"/>
  <c r="L76" i="8"/>
  <c r="L85" i="8"/>
  <c r="L87" i="8"/>
  <c r="L61" i="8"/>
  <c r="L53" i="8"/>
  <c r="L83" i="8"/>
  <c r="L54" i="8"/>
  <c r="L81" i="8"/>
  <c r="L84" i="8"/>
  <c r="L82" i="8"/>
  <c r="L59" i="8"/>
  <c r="L88" i="8"/>
  <c r="L60" i="8"/>
  <c r="L57" i="8"/>
  <c r="L92" i="8"/>
  <c r="L51" i="8"/>
  <c r="L58" i="8"/>
  <c r="L67" i="8"/>
  <c r="L65" i="8"/>
  <c r="L63" i="8"/>
  <c r="L66" i="8"/>
  <c r="L64" i="8"/>
  <c r="L52" i="8"/>
  <c r="L69" i="8"/>
  <c r="L73" i="8"/>
  <c r="L44" i="8"/>
  <c r="L46" i="8"/>
  <c r="L71" i="8"/>
  <c r="L72" i="8"/>
  <c r="L70" i="8"/>
  <c r="L48" i="8"/>
  <c r="L26" i="8"/>
  <c r="L28" i="8"/>
  <c r="L40" i="8"/>
  <c r="L38" i="8"/>
  <c r="L86" i="8"/>
  <c r="L47" i="8"/>
  <c r="L10" i="8"/>
  <c r="L34" i="8"/>
  <c r="L30" i="8"/>
  <c r="L42" i="8"/>
  <c r="L32" i="8"/>
  <c r="L56" i="8"/>
  <c r="L49" i="8"/>
  <c r="L8" i="8"/>
  <c r="L4" i="8"/>
  <c r="L12" i="8"/>
  <c r="L36" i="8"/>
  <c r="L16" i="8"/>
  <c r="L29" i="8"/>
  <c r="L2" i="8"/>
  <c r="L41" i="8"/>
  <c r="L18" i="8"/>
  <c r="L3" i="8"/>
  <c r="L6" i="8"/>
  <c r="L14" i="8"/>
  <c r="L35" i="8"/>
  <c r="L74" i="8"/>
  <c r="L11" i="8"/>
  <c r="L22" i="8"/>
  <c r="L24" i="8"/>
  <c r="L31" i="8"/>
  <c r="L62" i="8"/>
  <c r="L43" i="8"/>
  <c r="L68" i="8"/>
  <c r="L13" i="8"/>
  <c r="L37" i="8"/>
  <c r="L20" i="8"/>
  <c r="L19" i="8"/>
  <c r="L80" i="8"/>
  <c r="L5" i="8"/>
  <c r="L23" i="8"/>
  <c r="L45" i="8"/>
  <c r="L25" i="8"/>
  <c r="L39" i="8"/>
  <c r="L33" i="8"/>
  <c r="L9" i="8"/>
  <c r="L21" i="8"/>
  <c r="L27" i="8"/>
  <c r="L15" i="8"/>
  <c r="L7" i="8"/>
  <c r="L79" i="8"/>
  <c r="K95" i="8"/>
  <c r="M95" i="8" s="1"/>
  <c r="K93" i="8"/>
  <c r="M93" i="8" s="1"/>
  <c r="K97" i="8"/>
  <c r="M97" i="8" s="1"/>
  <c r="K96" i="8"/>
  <c r="M96" i="8" s="1"/>
  <c r="K94" i="8"/>
  <c r="M94" i="8" s="1"/>
  <c r="K91" i="8"/>
  <c r="M91" i="8" s="1"/>
  <c r="K77" i="8"/>
  <c r="M77" i="8" s="1"/>
  <c r="K78" i="8"/>
  <c r="M78" i="8" s="1"/>
  <c r="K55" i="8"/>
  <c r="M55" i="8" s="1"/>
  <c r="K50" i="8"/>
  <c r="M50" i="8" s="1"/>
  <c r="K89" i="8"/>
  <c r="M89" i="8" s="1"/>
  <c r="K75" i="8"/>
  <c r="M75" i="8" s="1"/>
  <c r="K90" i="8"/>
  <c r="M90" i="8" s="1"/>
  <c r="K76" i="8"/>
  <c r="M76" i="8" s="1"/>
  <c r="K85" i="8"/>
  <c r="M85" i="8" s="1"/>
  <c r="K87" i="8"/>
  <c r="M87" i="8" s="1"/>
  <c r="K61" i="8"/>
  <c r="M61" i="8" s="1"/>
  <c r="K53" i="8"/>
  <c r="M53" i="8" s="1"/>
  <c r="K83" i="8"/>
  <c r="M83" i="8" s="1"/>
  <c r="K54" i="8"/>
  <c r="M54" i="8" s="1"/>
  <c r="K81" i="8"/>
  <c r="M81" i="8" s="1"/>
  <c r="K84" i="8"/>
  <c r="M84" i="8" s="1"/>
  <c r="K82" i="8"/>
  <c r="M82" i="8" s="1"/>
  <c r="K59" i="8"/>
  <c r="M59" i="8" s="1"/>
  <c r="K88" i="8"/>
  <c r="M88" i="8" s="1"/>
  <c r="K60" i="8"/>
  <c r="M60" i="8" s="1"/>
  <c r="K57" i="8"/>
  <c r="M57" i="8" s="1"/>
  <c r="K92" i="8"/>
  <c r="M92" i="8" s="1"/>
  <c r="K51" i="8"/>
  <c r="M51" i="8" s="1"/>
  <c r="K58" i="8"/>
  <c r="M58" i="8" s="1"/>
  <c r="K67" i="8"/>
  <c r="M67" i="8" s="1"/>
  <c r="K65" i="8"/>
  <c r="M65" i="8" s="1"/>
  <c r="K63" i="8"/>
  <c r="M63" i="8" s="1"/>
  <c r="K66" i="8"/>
  <c r="M66" i="8" s="1"/>
  <c r="K64" i="8"/>
  <c r="M64" i="8" s="1"/>
  <c r="K52" i="8"/>
  <c r="M52" i="8" s="1"/>
  <c r="K69" i="8"/>
  <c r="M69" i="8" s="1"/>
  <c r="K73" i="8"/>
  <c r="M73" i="8" s="1"/>
  <c r="K44" i="8"/>
  <c r="M44" i="8" s="1"/>
  <c r="K46" i="8"/>
  <c r="M46" i="8" s="1"/>
  <c r="K71" i="8"/>
  <c r="M71" i="8" s="1"/>
  <c r="K72" i="8"/>
  <c r="M72" i="8" s="1"/>
  <c r="K70" i="8"/>
  <c r="M70" i="8" s="1"/>
  <c r="K48" i="8"/>
  <c r="M48" i="8" s="1"/>
  <c r="K26" i="8"/>
  <c r="M26" i="8" s="1"/>
  <c r="K28" i="8"/>
  <c r="M28" i="8" s="1"/>
  <c r="K40" i="8"/>
  <c r="M40" i="8" s="1"/>
  <c r="K38" i="8"/>
  <c r="M38" i="8" s="1"/>
  <c r="K86" i="8"/>
  <c r="M86" i="8" s="1"/>
  <c r="K47" i="8"/>
  <c r="M47" i="8" s="1"/>
  <c r="K10" i="8"/>
  <c r="M10" i="8" s="1"/>
  <c r="K34" i="8"/>
  <c r="M34" i="8" s="1"/>
  <c r="K30" i="8"/>
  <c r="M30" i="8" s="1"/>
  <c r="K42" i="8"/>
  <c r="M42" i="8" s="1"/>
  <c r="K32" i="8"/>
  <c r="M32" i="8" s="1"/>
  <c r="K56" i="8"/>
  <c r="M56" i="8" s="1"/>
  <c r="K49" i="8"/>
  <c r="M49" i="8" s="1"/>
  <c r="K8" i="8"/>
  <c r="M8" i="8" s="1"/>
  <c r="K4" i="8"/>
  <c r="M4" i="8" s="1"/>
  <c r="K12" i="8"/>
  <c r="M12" i="8" s="1"/>
  <c r="K36" i="8"/>
  <c r="M36" i="8" s="1"/>
  <c r="K16" i="8"/>
  <c r="M16" i="8" s="1"/>
  <c r="K29" i="8"/>
  <c r="M29" i="8" s="1"/>
  <c r="K2" i="8"/>
  <c r="M2" i="8" s="1"/>
  <c r="K41" i="8"/>
  <c r="M41" i="8" s="1"/>
  <c r="K18" i="8"/>
  <c r="M18" i="8" s="1"/>
  <c r="K3" i="8"/>
  <c r="M3" i="8" s="1"/>
  <c r="K6" i="8"/>
  <c r="M6" i="8" s="1"/>
  <c r="K14" i="8"/>
  <c r="M14" i="8" s="1"/>
  <c r="K35" i="8"/>
  <c r="M35" i="8" s="1"/>
  <c r="K74" i="8"/>
  <c r="M74" i="8" s="1"/>
  <c r="K11" i="8"/>
  <c r="M11" i="8" s="1"/>
  <c r="K22" i="8"/>
  <c r="M22" i="8" s="1"/>
  <c r="K24" i="8"/>
  <c r="M24" i="8" s="1"/>
  <c r="K31" i="8"/>
  <c r="M31" i="8" s="1"/>
  <c r="K62" i="8"/>
  <c r="M62" i="8" s="1"/>
  <c r="K43" i="8"/>
  <c r="M43" i="8" s="1"/>
  <c r="K68" i="8"/>
  <c r="M68" i="8" s="1"/>
  <c r="K13" i="8"/>
  <c r="M13" i="8" s="1"/>
  <c r="K37" i="8"/>
  <c r="M37" i="8" s="1"/>
  <c r="K20" i="8"/>
  <c r="M20" i="8" s="1"/>
  <c r="K19" i="8"/>
  <c r="M19" i="8" s="1"/>
  <c r="K80" i="8"/>
  <c r="M80" i="8" s="1"/>
  <c r="K5" i="8"/>
  <c r="M5" i="8" s="1"/>
  <c r="K23" i="8"/>
  <c r="M23" i="8" s="1"/>
  <c r="K45" i="8"/>
  <c r="M45" i="8" s="1"/>
  <c r="K25" i="8"/>
  <c r="M25" i="8" s="1"/>
  <c r="K39" i="8"/>
  <c r="M39" i="8" s="1"/>
  <c r="K33" i="8"/>
  <c r="M33" i="8" s="1"/>
  <c r="K9" i="8"/>
  <c r="M9" i="8" s="1"/>
  <c r="K21" i="8"/>
  <c r="M21" i="8" s="1"/>
  <c r="K27" i="8"/>
  <c r="M27" i="8" s="1"/>
  <c r="K15" i="8"/>
  <c r="M15" i="8" s="1"/>
  <c r="K7" i="8"/>
  <c r="M7" i="8" s="1"/>
  <c r="K79" i="8"/>
  <c r="M79" i="8" s="1"/>
</calcChain>
</file>

<file path=xl/sharedStrings.xml><?xml version="1.0" encoding="utf-8"?>
<sst xmlns="http://schemas.openxmlformats.org/spreadsheetml/2006/main" count="724" uniqueCount="190">
  <si>
    <t>hawalurahman/idt5-base-qaqg-v1.12-SQuAD-id</t>
  </si>
  <si>
    <t>Model</t>
  </si>
  <si>
    <t>Training Loss</t>
  </si>
  <si>
    <t>Epoch</t>
  </si>
  <si>
    <t>Step</t>
  </si>
  <si>
    <t>Validation Loss</t>
  </si>
  <si>
    <t>Rouge1</t>
  </si>
  <si>
    <t>Rouge2</t>
  </si>
  <si>
    <t>Rougel</t>
  </si>
  <si>
    <t>Rougelsum</t>
  </si>
  <si>
    <t>Bleu</t>
  </si>
  <si>
    <t>hawalurahman/idt5-base-qaqg-v1.72-SQuAD-id</t>
  </si>
  <si>
    <t>hawalurahman/idt5-base-qaqg-v2.42-SQuAD-id</t>
  </si>
  <si>
    <t>hawalurahman/idt5-base-qaqg-v2.12-SQuAD-id</t>
  </si>
  <si>
    <t>hawalurahman/idt5-base-qaqg-v2.72-SQuAD-id</t>
  </si>
  <si>
    <t>hawalurahman/idt5-base-qaqg-v1.42-TydiQA-id</t>
  </si>
  <si>
    <t>hawalurahman/idt5-base-qaqg-v1.12-TydiQA-id</t>
  </si>
  <si>
    <t>hawalurahman/idt5-base-qaqg-v1.72-TydiQA-id</t>
  </si>
  <si>
    <t>hawalurahman/idt5-base-qaqg-v2.42-TydiQA-id</t>
  </si>
  <si>
    <t>hawalurahman/idt5-base-qaqg-v2.12-TydiQA-id</t>
  </si>
  <si>
    <t>hawalurahman/idt5-base-qaqg-v2.72-TydiQA-id</t>
  </si>
  <si>
    <t>hawalurahman/idt5-base-qaqg-v1.42-SQuAD-id</t>
  </si>
  <si>
    <t>Scenario</t>
  </si>
  <si>
    <t>Random Seed</t>
  </si>
  <si>
    <t>Dataset</t>
  </si>
  <si>
    <t>SQuAD</t>
  </si>
  <si>
    <t>TydiQA</t>
  </si>
  <si>
    <t>bleu</t>
  </si>
  <si>
    <t>brevity_penalty</t>
  </si>
  <si>
    <t>length_ratio</t>
  </si>
  <si>
    <t>translation_length</t>
  </si>
  <si>
    <t>reference_length</t>
  </si>
  <si>
    <t>bleu1</t>
  </si>
  <si>
    <t>bleu2</t>
  </si>
  <si>
    <t>bleu3</t>
  </si>
  <si>
    <t>bleu4</t>
  </si>
  <si>
    <t>rouge1</t>
  </si>
  <si>
    <t>rouge2</t>
  </si>
  <si>
    <t>rougeL</t>
  </si>
  <si>
    <t>rougeLsum</t>
  </si>
  <si>
    <t>bert_score</t>
  </si>
  <si>
    <t>model</t>
  </si>
  <si>
    <t>v1-12-SQuAD-id</t>
  </si>
  <si>
    <t>v1-42-SQuAD-id</t>
  </si>
  <si>
    <t>v1-72-SQuAD-id</t>
  </si>
  <si>
    <t>v2-12-SQuAD-id</t>
  </si>
  <si>
    <t>v2-42-SQuAD-id</t>
  </si>
  <si>
    <t>v2-72-SQuAD-id</t>
  </si>
  <si>
    <t>v1-12-TydiQA-id</t>
  </si>
  <si>
    <t>v1-42-TydiQA-id</t>
  </si>
  <si>
    <t>v1-72-TydiQA-id</t>
  </si>
  <si>
    <t>v2-12-TydiQA-id</t>
  </si>
  <si>
    <t>v2-42-TydiQA-id</t>
  </si>
  <si>
    <t>v2-72-TydiQA-id</t>
  </si>
  <si>
    <t>column</t>
  </si>
  <si>
    <t>num_predictions</t>
  </si>
  <si>
    <t>exact_match</t>
  </si>
  <si>
    <t>precision</t>
  </si>
  <si>
    <t>recall</t>
  </si>
  <si>
    <t>f1</t>
  </si>
  <si>
    <t>raw-v1-12-SQuAD-id</t>
  </si>
  <si>
    <t>raw-v1-42-SQuAD-id</t>
  </si>
  <si>
    <t>raw-v1-72-SQuAD-id</t>
  </si>
  <si>
    <t>raw-v2-12-SQuAD-id</t>
  </si>
  <si>
    <t>raw-v2-42-SQuAD-id</t>
  </si>
  <si>
    <t>raw-v2-72-SQuAD-id</t>
  </si>
  <si>
    <t>raw-v1-12-TydiQA-id</t>
  </si>
  <si>
    <t>raw-v1-42-TydiQA-id</t>
  </si>
  <si>
    <t>raw-v1-72-TydiQA-id</t>
  </si>
  <si>
    <t>raw-v2-12-TydiQA-id</t>
  </si>
  <si>
    <t>raw-v2-42-TydiQA-id</t>
  </si>
  <si>
    <t>raw-v2-72-TydiQA-id</t>
  </si>
  <si>
    <t>idt5-base-qaqg-ae-noprefix-noprepend-42-SQuAD-...</t>
  </si>
  <si>
    <t>idt5-base-qaqg-ae-yesprefix-noprepend-42-SQuAD...</t>
  </si>
  <si>
    <t>idt5-base-qaqg-ae-yesprefix-yesprepend-42-SQuA...</t>
  </si>
  <si>
    <t>idt5-base-qaqg-noprefix-noprepend-42-SQuAD-id-...</t>
  </si>
  <si>
    <t>idt5-base-qaqg-qg-noprefix-noprepend-42-SQuAD-...</t>
  </si>
  <si>
    <t>idt5-base-qaqg-qg-yesprefix-noprepend-42-SQuAD...</t>
  </si>
  <si>
    <t>idt5-base-qaqg-qg-yesprefix-yesprepend-42-SQuA...</t>
  </si>
  <si>
    <t>idt5-base-qaqg-yesprefix-noprepend-42-SQuAD-id...</t>
  </si>
  <si>
    <t>idt5-base-qaqg-ae-noprefix-noprepend-42-TydiQA...</t>
  </si>
  <si>
    <t>idt5-base-qaqg-ae-yesprefix-noprepend-42-TydiQ...</t>
  </si>
  <si>
    <t>idt5-base-qaqg-noprefix-noprepend-42-TydiQA-id...</t>
  </si>
  <si>
    <t>idt5-base-qaqg-qg-noprefix-noprepend-42-TydiQA...</t>
  </si>
  <si>
    <t>idt5-base-qaqg-qg-yesprefix-noprepend-42-TydiQ...</t>
  </si>
  <si>
    <t>idt5-base-qaqg-qg-yesprefix-yesprepend-42-Tydi...</t>
  </si>
  <si>
    <t>idt5-base-qaqg-yesprefix-noprepend-42-TydiQA-i...</t>
  </si>
  <si>
    <t>raw-idt5-base-qaqg-ae-noprefix-noprepend-42-SQ...</t>
  </si>
  <si>
    <t>raw-idt5-base-qaqg-ae-yesprefix-noprepend-42-S...</t>
  </si>
  <si>
    <t>raw-idt5-base-qaqg-ae-yesprefix-yesprepend-42-...</t>
  </si>
  <si>
    <t>raw-idt5-base-qaqg-noprefix-noprepend-42-SQuAD...</t>
  </si>
  <si>
    <t>raw-idt5-base-qaqg-qg-noprefix-noprepend-42-SQ...</t>
  </si>
  <si>
    <t>raw-idt5-base-qaqg-qg-yesprefix-noprepend-42-S...</t>
  </si>
  <si>
    <t>raw-idt5-base-qaqg-qg-yesprefix-yesprepend-42-...</t>
  </si>
  <si>
    <t>raw-idt5-base-qaqg-yesprefix-noprepend-42-SQuA...</t>
  </si>
  <si>
    <t>unique-idt5-base-qaqg-ae-noprefix-noprepend-42...</t>
  </si>
  <si>
    <t>unique-idt5-base-qaqg-ae-yesprefix-noprepend-4...</t>
  </si>
  <si>
    <t>unique-idt5-base-qaqg-ae-yesprefix-yesprepend-...</t>
  </si>
  <si>
    <t>unique-idt5-base-qaqg-noprefix-noprepend-42-SQ...</t>
  </si>
  <si>
    <t>unique-idt5-base-qaqg-qg-noprefix-noprepend-42...</t>
  </si>
  <si>
    <t>unique-idt5-base-qaqg-qg-yesprefix-noprepend-4...</t>
  </si>
  <si>
    <t>unique-idt5-base-qaqg-qg-yesprefix-yesprepend-...</t>
  </si>
  <si>
    <t>unique-idt5-base-qaqg-yesprefix-noprepend-42-S...</t>
  </si>
  <si>
    <t>unique-v1-12-SQuAD-id</t>
  </si>
  <si>
    <t>unique-v1-42-SQuAD-id</t>
  </si>
  <si>
    <t>unique-v1-72-SQuAD-id</t>
  </si>
  <si>
    <t>unique-v2-12-SQuAD-id</t>
  </si>
  <si>
    <t>unique-v2-42-SQuAD-id</t>
  </si>
  <si>
    <t>unique-v2-72-SQuAD-id</t>
  </si>
  <si>
    <t>raw-idt5-base-qaqg-ae-noprefix-noprepend-42-Ty...</t>
  </si>
  <si>
    <t>raw-idt5-base-qaqg-ae-yesprefix-noprepend-42-T...</t>
  </si>
  <si>
    <t>raw-idt5-base-qaqg-noprefix-noprepend-42-TydiQ...</t>
  </si>
  <si>
    <t>raw-idt5-base-qaqg-qg-noprefix-noprepend-42-Ty...</t>
  </si>
  <si>
    <t>raw-idt5-base-qaqg-qg-yesprefix-noprepend-42-T...</t>
  </si>
  <si>
    <t>raw-idt5-base-qaqg-yesprefix-noprepend-42-Tydi...</t>
  </si>
  <si>
    <t>unique-idt5-base-qaqg-noprefix-noprepend-42-Ty...</t>
  </si>
  <si>
    <t>unique-idt5-base-qaqg-yesprefix-noprepend-42-T...</t>
  </si>
  <si>
    <t>unique-v1-12-TydiQA-id</t>
  </si>
  <si>
    <t>unique-v1-42-TydiQA-id</t>
  </si>
  <si>
    <t>unique-v1-72-TydiQA-id</t>
  </si>
  <si>
    <t>unique-v2-12-TydiQA-id</t>
  </si>
  <si>
    <t>unique-v2-42-TydiQA-id</t>
  </si>
  <si>
    <t>unique-v2-72-TydiQA-id</t>
  </si>
  <si>
    <t>significance</t>
  </si>
  <si>
    <t>significant</t>
  </si>
  <si>
    <t>score</t>
  </si>
  <si>
    <t>baseline</t>
  </si>
  <si>
    <t>comparison</t>
  </si>
  <si>
    <t>cohens_d</t>
  </si>
  <si>
    <t>sd_diff</t>
  </si>
  <si>
    <t>t_stat</t>
  </si>
  <si>
    <t>p_value</t>
  </si>
  <si>
    <t>v1-12-TydiQA-id.jsonl</t>
  </si>
  <si>
    <t>v1-42-TydiQA-id.jsonl</t>
  </si>
  <si>
    <t>v1-72-TydiQA-id.jsonl</t>
  </si>
  <si>
    <t>v2-12-TydiQA-id.jsonl</t>
  </si>
  <si>
    <t>not significant</t>
  </si>
  <si>
    <t>v2-42-TydiQA-id.jsonl</t>
  </si>
  <si>
    <t>v2-72-TydiQA-id.jsonl</t>
  </si>
  <si>
    <t>v1-12-SQuAD-id.jsonl</t>
  </si>
  <si>
    <t>v1-42-SQuAD-id.jsonl</t>
  </si>
  <si>
    <t>v1-72-SQuAD-id.jsonl</t>
  </si>
  <si>
    <t>v2-12-SQuAD-id.jsonl</t>
  </si>
  <si>
    <t>v2-42-SQuAD-id.jsonl</t>
  </si>
  <si>
    <t>v2-72-SQuAD-id.jsonl</t>
  </si>
  <si>
    <t>no</t>
  </si>
  <si>
    <t>q_value</t>
  </si>
  <si>
    <t>p_value_rank</t>
  </si>
  <si>
    <t>BH_critical_value</t>
  </si>
  <si>
    <t>fdr_significance</t>
  </si>
  <si>
    <t>mean</t>
  </si>
  <si>
    <t>sd</t>
  </si>
  <si>
    <t>v1.42-SQuAD-id</t>
  </si>
  <si>
    <t>v1.12-SQuAD-id</t>
  </si>
  <si>
    <t>v1.72-SQuAD-id</t>
  </si>
  <si>
    <t>v2.42-SQuAD-id</t>
  </si>
  <si>
    <t>v2.12-SQuAD-id</t>
  </si>
  <si>
    <t>v2.72-SQuAD-id</t>
  </si>
  <si>
    <t>v1.42-TydiQA-id</t>
  </si>
  <si>
    <t>v1.12-TydiQA-id</t>
  </si>
  <si>
    <t>v1.72-TydiQA-id</t>
  </si>
  <si>
    <t>v2.42-TydiQA-id</t>
  </si>
  <si>
    <t>v2.12-TydiQA-id</t>
  </si>
  <si>
    <t>v2.72-TydiQA-id</t>
  </si>
  <si>
    <t>Row Labels</t>
  </si>
  <si>
    <t>Grand Total</t>
  </si>
  <si>
    <t>Average of Training Loss</t>
  </si>
  <si>
    <t>Average of Validation Loss</t>
  </si>
  <si>
    <t>Average of Rouge1</t>
  </si>
  <si>
    <t>Average of Rouge2</t>
  </si>
  <si>
    <t>Average of Rougel</t>
  </si>
  <si>
    <t>Average of Bleu</t>
  </si>
  <si>
    <t>StdDev of Training Loss</t>
  </si>
  <si>
    <t>StdDev of Validation Loss</t>
  </si>
  <si>
    <t>StdDev of Rouge1</t>
  </si>
  <si>
    <t>StdDev of Rouge2</t>
  </si>
  <si>
    <t>StdDev of Rougel</t>
  </si>
  <si>
    <t>StdDev of Bleu</t>
  </si>
  <si>
    <t>prefix</t>
  </si>
  <si>
    <t>prepend</t>
  </si>
  <si>
    <t>task</t>
  </si>
  <si>
    <t>Column1</t>
  </si>
  <si>
    <t>multi-task</t>
  </si>
  <si>
    <t>raw-muchad-idt5-base-SQuAD</t>
  </si>
  <si>
    <t>unique-muchad-idt5-base-SQuAD</t>
  </si>
  <si>
    <t>raw-muchad-idt5-base-TydiQA</t>
  </si>
  <si>
    <t>unique-muchad-idt5-base-TydiQA</t>
  </si>
  <si>
    <t>muchad-idt5-base-SQuAD</t>
  </si>
  <si>
    <t>muchad-idt5-base-TydiQA</t>
  </si>
  <si>
    <t>*highlighted are the best performing 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</si>
</sst>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000000"/>
    <numFmt numFmtId="166" formatCode="0.000000000000"/>
    <numFmt numFmtId="167" formatCode="0.0000000"/>
  </numFmts>
  <fonts count="7" x14ac:knownFonts="1">
    <font>
      <sz val="12"/>
      <color theme="1"/>
      <name val="Aptos Narrow"/>
      <family val="2"/>
      <scheme val="minor"/>
    </font>
    <font>
      <sz val="10.5"/>
      <color rgb="FF4A5565"/>
      <name val="Arial"/>
      <family val="2"/>
    </font>
    <font>
      <b/>
      <sz val="10.5"/>
      <color rgb="FF4A5565"/>
      <name val="Arial"/>
      <family val="2"/>
    </font>
    <font>
      <b/>
      <sz val="12"/>
      <color rgb="FF3B3B3B"/>
      <name val="Arial"/>
      <family val="2"/>
    </font>
    <font>
      <sz val="12"/>
      <color rgb="FF3B3B3B"/>
      <name val="Arial"/>
      <family val="2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4472C4"/>
      </top>
      <bottom/>
      <diagonal/>
    </border>
    <border>
      <left/>
      <right/>
      <top style="thin">
        <color rgb="FF4472C4"/>
      </top>
      <bottom style="thin">
        <color rgb="FF4472C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2" fontId="1" fillId="0" borderId="0" xfId="0" applyNumberFormat="1" applyFont="1"/>
    <xf numFmtId="2" fontId="2" fillId="0" borderId="0" xfId="0" applyNumberFormat="1" applyFont="1"/>
    <xf numFmtId="1" fontId="1" fillId="0" borderId="0" xfId="0" applyNumberFormat="1" applyFont="1"/>
    <xf numFmtId="1" fontId="2" fillId="0" borderId="0" xfId="0" applyNumberFormat="1" applyFont="1"/>
    <xf numFmtId="164" fontId="1" fillId="0" borderId="0" xfId="0" applyNumberFormat="1" applyFont="1"/>
    <xf numFmtId="164" fontId="2" fillId="0" borderId="0" xfId="0" applyNumberFormat="1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1" fontId="0" fillId="0" borderId="0" xfId="0" applyNumberFormat="1"/>
    <xf numFmtId="164" fontId="0" fillId="0" borderId="0" xfId="0" applyNumberFormat="1"/>
    <xf numFmtId="0" fontId="5" fillId="0" borderId="0" xfId="0" applyFont="1"/>
    <xf numFmtId="165" fontId="5" fillId="0" borderId="0" xfId="0" applyNumberFormat="1" applyFont="1"/>
    <xf numFmtId="166" fontId="5" fillId="0" borderId="0" xfId="0" applyNumberFormat="1" applyFont="1"/>
    <xf numFmtId="167" fontId="5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5" fillId="0" borderId="0" xfId="0" applyNumberFormat="1" applyFont="1"/>
    <xf numFmtId="0" fontId="0" fillId="0" borderId="0" xfId="0" applyAlignment="1">
      <alignment horizontal="center"/>
    </xf>
    <xf numFmtId="0" fontId="6" fillId="0" borderId="1" xfId="0" applyFont="1" applyBorder="1"/>
    <xf numFmtId="0" fontId="6" fillId="0" borderId="2" xfId="0" applyFont="1" applyBorder="1"/>
  </cellXfs>
  <cellStyles count="1">
    <cellStyle name="Normal" xfId="0" builtinId="0"/>
  </cellStyles>
  <dxfs count="38">
    <dxf>
      <font>
        <color rgb="FF9C5700"/>
      </font>
      <fill>
        <patternFill>
          <bgColor rgb="FFFFEB9C"/>
        </patternFill>
      </fill>
    </dxf>
    <dxf>
      <font>
        <b val="0"/>
      </font>
    </dxf>
    <dxf>
      <font>
        <b val="0"/>
      </font>
      <numFmt numFmtId="167" formatCode="0.0000000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</dxf>
    <dxf>
      <font>
        <b val="0"/>
      </font>
      <numFmt numFmtId="166" formatCode="0.000000000000"/>
    </dxf>
    <dxf>
      <font>
        <b val="0"/>
      </font>
      <numFmt numFmtId="165" formatCode="0.000000000"/>
    </dxf>
    <dxf>
      <font>
        <b val="0"/>
      </font>
      <numFmt numFmtId="165" formatCode="0.000000000"/>
    </dxf>
    <dxf>
      <font>
        <b val="0"/>
      </font>
      <numFmt numFmtId="165" formatCode="0.000000000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B3B3B"/>
        <name val="Arial"/>
        <family val="2"/>
        <scheme val="none"/>
      </font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2"/>
          <c:order val="0"/>
          <c:tx>
            <c:strRef>
              <c:f>Sheet1!$A$2</c:f>
              <c:strCache>
                <c:ptCount val="1"/>
                <c:pt idx="0">
                  <c:v>hawalurahman/idt5-base-qaqg-v1.42-SQuAD-id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Sheet1!$B$2:$B$6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Sheet1!$C$2:$C$6</c:f>
              <c:numCache>
                <c:formatCode>General</c:formatCode>
                <c:ptCount val="5"/>
                <c:pt idx="0">
                  <c:v>1.3977999999999999</c:v>
                </c:pt>
                <c:pt idx="1">
                  <c:v>1.2292000000000001</c:v>
                </c:pt>
                <c:pt idx="2">
                  <c:v>1.0972</c:v>
                </c:pt>
                <c:pt idx="3">
                  <c:v>1.0301</c:v>
                </c:pt>
                <c:pt idx="4">
                  <c:v>0.99980000000000002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636-AA46-97FB-9C5AA6A07EDE}"/>
            </c:ext>
          </c:extLst>
        </c:ser>
        <c:ser>
          <c:idx val="0"/>
          <c:order val="1"/>
          <c:tx>
            <c:strRef>
              <c:f>Sheet1!$A$7</c:f>
              <c:strCache>
                <c:ptCount val="1"/>
                <c:pt idx="0">
                  <c:v>hawalurahman/idt5-base-qaqg-v1.12-SQuAD-id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Sheet1!$B$2:$B$6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Sheet1!$C$7:$C$11</c:f>
              <c:numCache>
                <c:formatCode>General</c:formatCode>
                <c:ptCount val="5"/>
                <c:pt idx="0">
                  <c:v>1.4554</c:v>
                </c:pt>
                <c:pt idx="1">
                  <c:v>1.2531000000000001</c:v>
                </c:pt>
                <c:pt idx="2">
                  <c:v>1.1434</c:v>
                </c:pt>
                <c:pt idx="3">
                  <c:v>1.0687</c:v>
                </c:pt>
                <c:pt idx="4">
                  <c:v>0.999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36-AA46-97FB-9C5AA6A07EDE}"/>
            </c:ext>
          </c:extLst>
        </c:ser>
        <c:ser>
          <c:idx val="1"/>
          <c:order val="2"/>
          <c:tx>
            <c:strRef>
              <c:f>Sheet1!$A$12</c:f>
              <c:strCache>
                <c:ptCount val="1"/>
                <c:pt idx="0">
                  <c:v>hawalurahman/idt5-base-qaqg-v1.72-SQuAD-id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Sheet1!$B$2:$B$6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Sheet1!$C$12:$C$16</c:f>
              <c:numCache>
                <c:formatCode>General</c:formatCode>
                <c:ptCount val="5"/>
                <c:pt idx="0">
                  <c:v>1.3900999999999999</c:v>
                </c:pt>
                <c:pt idx="1">
                  <c:v>1.2087000000000001</c:v>
                </c:pt>
                <c:pt idx="2">
                  <c:v>1.0683</c:v>
                </c:pt>
                <c:pt idx="3">
                  <c:v>0.97170000000000001</c:v>
                </c:pt>
                <c:pt idx="4">
                  <c:v>0.88980000000000004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36-AA46-97FB-9C5AA6A07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3795967"/>
        <c:axId val="913620575"/>
      </c:lineChart>
      <c:catAx>
        <c:axId val="9137959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Epoch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620575"/>
        <c:crosses val="autoZero"/>
        <c:auto val="1"/>
        <c:lblAlgn val="ctr"/>
        <c:lblOffset val="100"/>
        <c:noMultiLvlLbl val="0"/>
      </c:catAx>
      <c:valAx>
        <c:axId val="913620575"/>
        <c:scaling>
          <c:orientation val="minMax"/>
          <c:max val="2.200000000000000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Training Loss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795967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Sheet1!$A$17</c:f>
              <c:strCache>
                <c:ptCount val="1"/>
                <c:pt idx="0">
                  <c:v>hawalurahman/idt5-base-qaqg-v2.42-SQuAD-id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Sheet1!$B$27:$B$31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Sheet1!$C$17:$C$21</c:f>
              <c:numCache>
                <c:formatCode>General</c:formatCode>
                <c:ptCount val="5"/>
                <c:pt idx="0">
                  <c:v>1.7448999999999999</c:v>
                </c:pt>
                <c:pt idx="1">
                  <c:v>1.4802</c:v>
                </c:pt>
                <c:pt idx="2">
                  <c:v>1.3735999999999999</c:v>
                </c:pt>
                <c:pt idx="3">
                  <c:v>1.2742</c:v>
                </c:pt>
                <c:pt idx="4">
                  <c:v>1.1520999999999999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11-8347-A1C0-0B06CC0FDD66}"/>
            </c:ext>
          </c:extLst>
        </c:ser>
        <c:ser>
          <c:idx val="1"/>
          <c:order val="1"/>
          <c:tx>
            <c:strRef>
              <c:f>Sheet1!$A$22</c:f>
              <c:strCache>
                <c:ptCount val="1"/>
                <c:pt idx="0">
                  <c:v>hawalurahman/idt5-base-qaqg-v2.12-SQuAD-id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Sheet1!$B$27:$B$31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Sheet1!$C$22:$C$26</c:f>
              <c:numCache>
                <c:formatCode>General</c:formatCode>
                <c:ptCount val="5"/>
                <c:pt idx="0">
                  <c:v>1.7614000000000001</c:v>
                </c:pt>
                <c:pt idx="1">
                  <c:v>1.5305</c:v>
                </c:pt>
                <c:pt idx="2">
                  <c:v>1.3787</c:v>
                </c:pt>
                <c:pt idx="3">
                  <c:v>1.2495000000000001</c:v>
                </c:pt>
                <c:pt idx="4">
                  <c:v>1.1253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11-8347-A1C0-0B06CC0FDD66}"/>
            </c:ext>
          </c:extLst>
        </c:ser>
        <c:ser>
          <c:idx val="2"/>
          <c:order val="2"/>
          <c:tx>
            <c:strRef>
              <c:f>Sheet1!$A$27</c:f>
              <c:strCache>
                <c:ptCount val="1"/>
                <c:pt idx="0">
                  <c:v>hawalurahman/idt5-base-qaqg-v2.72-SQuAD-id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Sheet1!$B$27:$B$31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Sheet1!$C$27:$C$31</c:f>
              <c:numCache>
                <c:formatCode>General</c:formatCode>
                <c:ptCount val="5"/>
                <c:pt idx="0">
                  <c:v>1.7485999999999999</c:v>
                </c:pt>
                <c:pt idx="1">
                  <c:v>1.5034000000000001</c:v>
                </c:pt>
                <c:pt idx="2">
                  <c:v>1.3515999999999999</c:v>
                </c:pt>
                <c:pt idx="3">
                  <c:v>1.1970000000000001</c:v>
                </c:pt>
                <c:pt idx="4">
                  <c:v>1.1207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11-8347-A1C0-0B06CC0FD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3795967"/>
        <c:axId val="913620575"/>
      </c:lineChart>
      <c:catAx>
        <c:axId val="9137959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Epoch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620575"/>
        <c:crosses val="autoZero"/>
        <c:auto val="1"/>
        <c:lblAlgn val="ctr"/>
        <c:lblOffset val="100"/>
        <c:noMultiLvlLbl val="0"/>
      </c:catAx>
      <c:valAx>
        <c:axId val="913620575"/>
        <c:scaling>
          <c:orientation val="minMax"/>
          <c:max val="2.200000000000000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Training Loss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795967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Sheet1!$A$32</c:f>
              <c:strCache>
                <c:ptCount val="1"/>
                <c:pt idx="0">
                  <c:v>hawalurahman/idt5-base-qaqg-v1.42-TydiQA-id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Sheet1!$B$42:$B$46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Sheet1!$C$32:$C$36</c:f>
              <c:numCache>
                <c:formatCode>General</c:formatCode>
                <c:ptCount val="5"/>
                <c:pt idx="0">
                  <c:v>1.4001999999999999</c:v>
                </c:pt>
                <c:pt idx="1">
                  <c:v>1.042</c:v>
                </c:pt>
                <c:pt idx="2">
                  <c:v>0.90459999999999996</c:v>
                </c:pt>
                <c:pt idx="3">
                  <c:v>0.7298</c:v>
                </c:pt>
                <c:pt idx="4">
                  <c:v>0.66020000000000001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66-784F-A821-33A311371ACC}"/>
            </c:ext>
          </c:extLst>
        </c:ser>
        <c:ser>
          <c:idx val="1"/>
          <c:order val="1"/>
          <c:tx>
            <c:strRef>
              <c:f>Sheet1!$A$37</c:f>
              <c:strCache>
                <c:ptCount val="1"/>
                <c:pt idx="0">
                  <c:v>hawalurahman/idt5-base-qaqg-v1.12-TydiQA-id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Sheet1!$B$42:$B$46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Sheet1!$C$37:$C$41</c:f>
              <c:numCache>
                <c:formatCode>General</c:formatCode>
                <c:ptCount val="5"/>
                <c:pt idx="0">
                  <c:v>1.4087000000000001</c:v>
                </c:pt>
                <c:pt idx="1">
                  <c:v>1.0619000000000001</c:v>
                </c:pt>
                <c:pt idx="2">
                  <c:v>0.89939999999999998</c:v>
                </c:pt>
                <c:pt idx="3">
                  <c:v>0.72309999999999997</c:v>
                </c:pt>
                <c:pt idx="4">
                  <c:v>0.66180000000000005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66-784F-A821-33A311371ACC}"/>
            </c:ext>
          </c:extLst>
        </c:ser>
        <c:ser>
          <c:idx val="2"/>
          <c:order val="2"/>
          <c:tx>
            <c:strRef>
              <c:f>Sheet1!$A$42</c:f>
              <c:strCache>
                <c:ptCount val="1"/>
                <c:pt idx="0">
                  <c:v>hawalurahman/idt5-base-qaqg-v1.72-TydiQA-id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Sheet1!$B$42:$B$46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Sheet1!$C$42:$C$46</c:f>
              <c:numCache>
                <c:formatCode>General</c:formatCode>
                <c:ptCount val="5"/>
                <c:pt idx="0">
                  <c:v>1.4155</c:v>
                </c:pt>
                <c:pt idx="1">
                  <c:v>1.0779000000000001</c:v>
                </c:pt>
                <c:pt idx="2">
                  <c:v>0.91039999999999999</c:v>
                </c:pt>
                <c:pt idx="3">
                  <c:v>0.73970000000000002</c:v>
                </c:pt>
                <c:pt idx="4">
                  <c:v>0.71460000000000001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66-784F-A821-33A311371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3795967"/>
        <c:axId val="913620575"/>
      </c:lineChart>
      <c:catAx>
        <c:axId val="9137959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Epoch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620575"/>
        <c:crosses val="autoZero"/>
        <c:auto val="1"/>
        <c:lblAlgn val="ctr"/>
        <c:lblOffset val="100"/>
        <c:noMultiLvlLbl val="0"/>
      </c:catAx>
      <c:valAx>
        <c:axId val="913620575"/>
        <c:scaling>
          <c:orientation val="minMax"/>
          <c:max val="2.200000000000000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Training Loss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795967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Sheet1!$A$47</c:f>
              <c:strCache>
                <c:ptCount val="1"/>
                <c:pt idx="0">
                  <c:v>hawalurahman/idt5-base-qaqg-v2.42-TydiQA-id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Sheet1!$B$57:$B$61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Sheet1!$C$47:$C$51</c:f>
              <c:numCache>
                <c:formatCode>General</c:formatCode>
                <c:ptCount val="5"/>
                <c:pt idx="0">
                  <c:v>1.7678</c:v>
                </c:pt>
                <c:pt idx="1">
                  <c:v>1.3411999999999999</c:v>
                </c:pt>
                <c:pt idx="2">
                  <c:v>1.1348</c:v>
                </c:pt>
                <c:pt idx="3">
                  <c:v>1.0722</c:v>
                </c:pt>
                <c:pt idx="4">
                  <c:v>0.92600000000000005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01-8743-BE67-C400CCE6607D}"/>
            </c:ext>
          </c:extLst>
        </c:ser>
        <c:ser>
          <c:idx val="1"/>
          <c:order val="1"/>
          <c:tx>
            <c:strRef>
              <c:f>Sheet1!$A$52</c:f>
              <c:strCache>
                <c:ptCount val="1"/>
                <c:pt idx="0">
                  <c:v>hawalurahman/idt5-base-qaqg-v2.12-TydiQA-id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Sheet1!$B$57:$B$61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Sheet1!$C$52:$C$56</c:f>
              <c:numCache>
                <c:formatCode>General</c:formatCode>
                <c:ptCount val="5"/>
                <c:pt idx="0">
                  <c:v>1.7889999999999999</c:v>
                </c:pt>
                <c:pt idx="1">
                  <c:v>1.4058999999999999</c:v>
                </c:pt>
                <c:pt idx="2">
                  <c:v>1.1986000000000001</c:v>
                </c:pt>
                <c:pt idx="3">
                  <c:v>0.99529999999999996</c:v>
                </c:pt>
                <c:pt idx="4">
                  <c:v>0.93940000000000001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01-8743-BE67-C400CCE6607D}"/>
            </c:ext>
          </c:extLst>
        </c:ser>
        <c:ser>
          <c:idx val="2"/>
          <c:order val="2"/>
          <c:tx>
            <c:strRef>
              <c:f>Sheet1!$A$57</c:f>
              <c:strCache>
                <c:ptCount val="1"/>
                <c:pt idx="0">
                  <c:v>hawalurahman/idt5-base-qaqg-v2.72-TydiQA-id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Sheet1!$B$57:$B$61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Sheet1!$C$57:$C$61</c:f>
              <c:numCache>
                <c:formatCode>General</c:formatCode>
                <c:ptCount val="5"/>
                <c:pt idx="0">
                  <c:v>1.9954000000000001</c:v>
                </c:pt>
                <c:pt idx="1">
                  <c:v>1.3847</c:v>
                </c:pt>
                <c:pt idx="2">
                  <c:v>1.2305999999999999</c:v>
                </c:pt>
                <c:pt idx="3">
                  <c:v>1.0275000000000001</c:v>
                </c:pt>
                <c:pt idx="4">
                  <c:v>0.98460000000000003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01-8743-BE67-C400CCE66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3795967"/>
        <c:axId val="913620575"/>
      </c:lineChart>
      <c:catAx>
        <c:axId val="9137959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Epoch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620575"/>
        <c:crosses val="autoZero"/>
        <c:auto val="1"/>
        <c:lblAlgn val="ctr"/>
        <c:lblOffset val="100"/>
        <c:noMultiLvlLbl val="0"/>
      </c:catAx>
      <c:valAx>
        <c:axId val="91362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Training Loss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795967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669841</xdr:colOff>
      <xdr:row>4</xdr:row>
      <xdr:rowOff>61364</xdr:rowOff>
    </xdr:from>
    <xdr:to>
      <xdr:col>16</xdr:col>
      <xdr:colOff>319186</xdr:colOff>
      <xdr:row>17</xdr:row>
      <xdr:rowOff>174653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506161C-F86B-4B3B-9944-B63B431312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685575</xdr:colOff>
      <xdr:row>19</xdr:row>
      <xdr:rowOff>191061</xdr:rowOff>
    </xdr:from>
    <xdr:to>
      <xdr:col>16</xdr:col>
      <xdr:colOff>334920</xdr:colOff>
      <xdr:row>33</xdr:row>
      <xdr:rowOff>102049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13E60A1-874A-634F-B64D-6A34D8EAC9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36</xdr:row>
      <xdr:rowOff>0</xdr:rowOff>
    </xdr:from>
    <xdr:to>
      <xdr:col>16</xdr:col>
      <xdr:colOff>474845</xdr:colOff>
      <xdr:row>49</xdr:row>
      <xdr:rowOff>114188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A0140B4-C5AA-E346-A98E-2E35531369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52</xdr:row>
      <xdr:rowOff>0</xdr:rowOff>
    </xdr:from>
    <xdr:to>
      <xdr:col>16</xdr:col>
      <xdr:colOff>474845</xdr:colOff>
      <xdr:row>65</xdr:row>
      <xdr:rowOff>114188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17F3F95-F266-2F4E-A7F1-1E6C05A86A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itor" refreshedDate="46064.583093287038" createdVersion="8" refreshedVersion="8" minRefreshableVersion="3" recordCount="12" xr:uid="{8457790D-9441-0349-A9C3-044F90FFF03C}">
  <cacheSource type="worksheet">
    <worksheetSource ref="C2:M14" sheet="Sheet2"/>
  </cacheSource>
  <cacheFields count="11">
    <cacheField name="Dataset" numFmtId="0">
      <sharedItems count="2">
        <s v="SQuAD"/>
        <s v="TydiQA"/>
      </sharedItems>
    </cacheField>
    <cacheField name="Scenario" numFmtId="0">
      <sharedItems containsSemiMixedTypes="0" containsString="0" containsNumber="1" containsInteger="1" minValue="1" maxValue="2" count="2">
        <n v="1"/>
        <n v="2"/>
      </sharedItems>
    </cacheField>
    <cacheField name="Random Seed" numFmtId="0">
      <sharedItems containsSemiMixedTypes="0" containsString="0" containsNumber="1" containsInteger="1" minValue="12" maxValue="72"/>
    </cacheField>
    <cacheField name="Training Loss" numFmtId="164">
      <sharedItems containsSemiMixedTypes="0" containsString="0" containsNumber="1" minValue="0.66020000000000001" maxValue="1.1520999999999999"/>
    </cacheField>
    <cacheField name="Validation Loss" numFmtId="164">
      <sharedItems containsSemiMixedTypes="0" containsString="0" containsNumber="1" minValue="0.86970000000000003" maxValue="1.4294"/>
    </cacheField>
    <cacheField name="Rouge1" numFmtId="164">
      <sharedItems containsSemiMixedTypes="0" containsString="0" containsNumber="1" minValue="0.40389999999999998" maxValue="0.53959999999999997"/>
    </cacheField>
    <cacheField name="Rouge2" numFmtId="164">
      <sharedItems containsSemiMixedTypes="0" containsString="0" containsNumber="1" minValue="0.22370000000000001" maxValue="0.36430000000000001"/>
    </cacheField>
    <cacheField name="Rougel" numFmtId="164">
      <sharedItems containsSemiMixedTypes="0" containsString="0" containsNumber="1" minValue="0.38350000000000001" maxValue="0.53790000000000004"/>
    </cacheField>
    <cacheField name="Bleu" numFmtId="164">
      <sharedItems containsSemiMixedTypes="0" containsString="0" containsNumber="1" minValue="0.17549999999999999" maxValue="0.36070000000000002"/>
    </cacheField>
    <cacheField name="Step" numFmtId="1">
      <sharedItems containsSemiMixedTypes="0" containsString="0" containsNumber="1" containsInteger="1" minValue="11405" maxValue="60000"/>
    </cacheField>
    <cacheField name="Rougelsum" numFmtId="2">
      <sharedItems containsSemiMixedTypes="0" containsString="0" containsNumber="1" minValue="0.38340000000000002" maxValue="0.53869999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n v="42"/>
    <n v="0.99980000000000002"/>
    <n v="1.1747000000000001"/>
    <n v="0.44140000000000001"/>
    <n v="0.24149999999999999"/>
    <n v="0.40670000000000001"/>
    <n v="0.19789999999999999"/>
    <n v="23475"/>
    <n v="0.4078"/>
  </r>
  <r>
    <x v="0"/>
    <x v="0"/>
    <n v="12"/>
    <n v="0.999"/>
    <n v="1.1889000000000001"/>
    <n v="0.43840000000000001"/>
    <n v="0.24110000000000001"/>
    <n v="0.40400000000000003"/>
    <n v="0.19789999999999999"/>
    <n v="23475"/>
    <n v="0.40510000000000002"/>
  </r>
  <r>
    <x v="0"/>
    <x v="0"/>
    <n v="72"/>
    <n v="0.88980000000000004"/>
    <n v="1.1796"/>
    <n v="0.44540000000000002"/>
    <n v="0.24629999999999999"/>
    <n v="0.40949999999999998"/>
    <n v="0.20119999999999999"/>
    <n v="46950"/>
    <n v="0.41070000000000001"/>
  </r>
  <r>
    <x v="0"/>
    <x v="1"/>
    <n v="42"/>
    <n v="1.1520999999999999"/>
    <n v="1.4294"/>
    <n v="0.40810000000000002"/>
    <n v="0.2248"/>
    <n v="0.38719999999999999"/>
    <n v="0.17710000000000001"/>
    <n v="60000"/>
    <n v="0.3876"/>
  </r>
  <r>
    <x v="0"/>
    <x v="1"/>
    <n v="12"/>
    <n v="1.1253"/>
    <n v="1.4268000000000001"/>
    <n v="0.40389999999999998"/>
    <n v="0.22370000000000001"/>
    <n v="0.38350000000000001"/>
    <n v="0.17549999999999999"/>
    <n v="60000"/>
    <n v="0.38340000000000002"/>
  </r>
  <r>
    <x v="0"/>
    <x v="1"/>
    <n v="72"/>
    <n v="1.1207"/>
    <n v="1.4085000000000001"/>
    <n v="0.41089999999999999"/>
    <n v="0.2278"/>
    <n v="0.39040000000000002"/>
    <n v="0.18110000000000001"/>
    <n v="60000"/>
    <n v="0.39050000000000001"/>
  </r>
  <r>
    <x v="1"/>
    <x v="0"/>
    <n v="42"/>
    <n v="0.66020000000000001"/>
    <n v="0.94279999999999997"/>
    <n v="0.50700000000000001"/>
    <n v="0.33560000000000001"/>
    <n v="0.50580000000000003"/>
    <n v="0.33650000000000002"/>
    <n v="11405"/>
    <n v="0.50529999999999997"/>
  </r>
  <r>
    <x v="1"/>
    <x v="0"/>
    <n v="12"/>
    <n v="0.66180000000000005"/>
    <n v="0.86970000000000003"/>
    <n v="0.52400000000000002"/>
    <n v="0.3498"/>
    <n v="0.52270000000000005"/>
    <n v="0.34320000000000001"/>
    <n v="11405"/>
    <n v="0.52229999999999999"/>
  </r>
  <r>
    <x v="1"/>
    <x v="0"/>
    <n v="72"/>
    <n v="0.71460000000000001"/>
    <n v="0.9052"/>
    <n v="0.51770000000000005"/>
    <n v="0.3448"/>
    <n v="0.51470000000000005"/>
    <n v="0.32919999999999999"/>
    <n v="11405"/>
    <n v="0.51500000000000001"/>
  </r>
  <r>
    <x v="1"/>
    <x v="1"/>
    <n v="42"/>
    <n v="0.92600000000000005"/>
    <n v="1.3146"/>
    <n v="0.52049999999999996"/>
    <n v="0.33879999999999999"/>
    <n v="0.51949999999999996"/>
    <n v="0.3306"/>
    <n v="11405"/>
    <n v="0.51890000000000003"/>
  </r>
  <r>
    <x v="1"/>
    <x v="1"/>
    <n v="12"/>
    <n v="0.93940000000000001"/>
    <n v="1.1591"/>
    <n v="0.53959999999999997"/>
    <n v="0.36430000000000001"/>
    <n v="0.53790000000000004"/>
    <n v="0.36070000000000002"/>
    <n v="11405"/>
    <n v="0.53869999999999996"/>
  </r>
  <r>
    <x v="1"/>
    <x v="1"/>
    <n v="72"/>
    <n v="0.98460000000000003"/>
    <n v="1.244"/>
    <n v="0.53710000000000002"/>
    <n v="0.3528"/>
    <n v="0.53439999999999999"/>
    <n v="0.33760000000000001"/>
    <n v="11405"/>
    <n v="0.535399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633426-51F8-D547-8545-65420F6B702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8:I45" firstHeaderRow="0" firstDataRow="1" firstDataCol="1"/>
  <pivotFields count="11">
    <pivotField axis="axisRow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numFmtId="1" showAll="0"/>
    <pivotField numFmtId="2" showAll="0"/>
  </pivotFields>
  <rowFields count="2">
    <field x="0"/>
    <field x="1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tdDev of Training Loss" fld="3" subtotal="stdDev" baseField="0" baseItem="0" numFmtId="164"/>
    <dataField name="StdDev of Validation Loss" fld="4" subtotal="stdDev" baseField="0" baseItem="0" numFmtId="164"/>
    <dataField name="StdDev of Rouge1" fld="5" subtotal="stdDev" baseField="0" baseItem="0" numFmtId="164"/>
    <dataField name="StdDev of Rouge2" fld="6" subtotal="stdDev" baseField="0" baseItem="0" numFmtId="164"/>
    <dataField name="StdDev of Rougel" fld="7" subtotal="stdDev" baseField="0" baseItem="0" numFmtId="164"/>
    <dataField name="StdDev of Bleu" fld="8" subtotal="stdDev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1DE46C-3D57-1D4B-A742-F656363F713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7:I34" firstHeaderRow="0" firstDataRow="1" firstDataCol="1"/>
  <pivotFields count="11">
    <pivotField axis="axisRow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numFmtId="1" showAll="0"/>
    <pivotField numFmtId="2" showAll="0"/>
  </pivotFields>
  <rowFields count="2">
    <field x="0"/>
    <field x="1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verage of Training Loss" fld="3" subtotal="average" baseField="0" baseItem="0" numFmtId="164"/>
    <dataField name="Average of Validation Loss" fld="4" subtotal="average" baseField="0" baseItem="0" numFmtId="164"/>
    <dataField name="Average of Rouge1" fld="5" subtotal="average" baseField="0" baseItem="0" numFmtId="164"/>
    <dataField name="Average of Rouge2" fld="6" subtotal="average" baseField="0" baseItem="0" numFmtId="164"/>
    <dataField name="Average of Rougel" fld="7" subtotal="average" baseField="0" baseItem="0" numFmtId="164"/>
    <dataField name="Average of Bleu" fld="8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817B48-085F-D44E-9626-5E5FA85EE456}" name="Table3" displayName="Table3" ref="A1:T30" totalsRowShown="0" dataDxfId="37">
  <autoFilter ref="A1:T30" xr:uid="{4D817B48-085F-D44E-9626-5E5FA85EE456}"/>
  <sortState xmlns:xlrd2="http://schemas.microsoft.com/office/spreadsheetml/2017/richdata2" ref="A2:T13">
    <sortCondition ref="T1:T13"/>
  </sortState>
  <tableColumns count="20">
    <tableColumn id="1" xr3:uid="{1A5D93BF-10BD-B14C-9E46-4EDBF70FDC87}" name="Column1" dataDxfId="36"/>
    <tableColumn id="2" xr3:uid="{9AE1248E-9368-3B40-9A57-7DEC6252CC1A}" name="bleu" dataDxfId="35"/>
    <tableColumn id="3" xr3:uid="{54025975-6AAA-A84A-9057-86A59F95B656}" name="brevity_penalty" dataDxfId="34"/>
    <tableColumn id="4" xr3:uid="{44CC7C6A-9DE6-C54D-86FC-BCCB33C446BD}" name="length_ratio" dataDxfId="33"/>
    <tableColumn id="5" xr3:uid="{AA1F7C40-2CBF-F249-89F1-74525F19D9D9}" name="translation_length" dataDxfId="32"/>
    <tableColumn id="6" xr3:uid="{CCB03134-DADD-4440-8E50-76A081914D30}" name="reference_length" dataDxfId="31"/>
    <tableColumn id="7" xr3:uid="{11A3CCA2-A753-3B46-8C7D-3AF7AC8A59AD}" name="bleu1" dataDxfId="30"/>
    <tableColumn id="8" xr3:uid="{A773C7F9-94AE-FF49-B559-84F8EABA7AC3}" name="bleu2" dataDxfId="29"/>
    <tableColumn id="9" xr3:uid="{295C957C-7D94-FE45-BDC9-DA0EA455AC7E}" name="bleu3" dataDxfId="28"/>
    <tableColumn id="10" xr3:uid="{368294D6-AE9C-DE4E-BAA2-FD7F3C511D94}" name="bleu4" dataDxfId="27"/>
    <tableColumn id="11" xr3:uid="{3B3107A7-0F7B-C346-8E6C-8A3EE2D9BD97}" name="rouge1" dataDxfId="26"/>
    <tableColumn id="12" xr3:uid="{8DED047F-EEF8-FE49-B635-6E47F8D4ACF7}" name="rouge2" dataDxfId="25"/>
    <tableColumn id="13" xr3:uid="{9E72A109-C5B7-1B46-9C53-96FCA638934E}" name="rougeL" dataDxfId="24"/>
    <tableColumn id="14" xr3:uid="{281120F0-0346-3040-A2F7-AFE773178E39}" name="rougeLsum" dataDxfId="23"/>
    <tableColumn id="15" xr3:uid="{36E43303-FB71-F843-92A5-50EF186E41FB}" name="bert_score" dataDxfId="22"/>
    <tableColumn id="16" xr3:uid="{681E3B31-EEC0-294E-BEA8-FF1D2F17571F}" name="model" dataDxfId="21"/>
    <tableColumn id="17" xr3:uid="{16749208-1E23-2842-9D5B-FE44A6318554}" name="prefix" dataDxfId="20">
      <calculatedColumnFormula>IF(ISNUMBER(FIND("yesprefix", P2)), "v", "")</calculatedColumnFormula>
    </tableColumn>
    <tableColumn id="18" xr3:uid="{5A717D4A-3FEE-3E48-B712-525EE65C73BE}" name="prepend" dataDxfId="19">
      <calculatedColumnFormula>IF(ISNUMBER(FIND("yesprepend", P2)), "v", "")</calculatedColumnFormula>
    </tableColumn>
    <tableColumn id="21" xr3:uid="{013A7993-5FFC-5F43-A04B-3311F2E7666C}" name="multi-task" dataDxfId="18">
      <calculatedColumnFormula>IF(ISNUMBER(FIND("-ae-", P2)), "", IF(ISNUMBER(FIND("-qg-", P2)), "", "v"))</calculatedColumnFormula>
    </tableColumn>
    <tableColumn id="20" xr3:uid="{789E90D4-7815-244A-97B2-0CDE85E34215}" name="task" dataDxfId="17">
      <calculatedColumnFormula>IF(ISNUMBER(FIND("-ae-", P2)), "ae", IF(ISNUMBER(FIND("-qg-", P2)), "qg", "ae-qg"))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564DF07-C0F2-0948-AB37-8F6881E87709}" name="Table4" displayName="Table4" ref="A1:L59" totalsRowShown="0" headerRowDxfId="16">
  <autoFilter ref="A1:L59" xr:uid="{A564DF07-C0F2-0948-AB37-8F6881E87709}"/>
  <sortState xmlns:xlrd2="http://schemas.microsoft.com/office/spreadsheetml/2017/richdata2" ref="A2:L53">
    <sortCondition ref="A1:A53"/>
  </sortState>
  <tableColumns count="12">
    <tableColumn id="1" xr3:uid="{7FC9241D-7DDF-D64C-A85A-EEACEF05A2E0}" name="Column1"/>
    <tableColumn id="2" xr3:uid="{F9837CF2-54A2-174C-B65E-B62E037839E7}" name="column"/>
    <tableColumn id="3" xr3:uid="{90EC1E3D-BE40-224B-9730-C102CC6B4BF5}" name="num_predictions"/>
    <tableColumn id="4" xr3:uid="{1A6BF013-C2E9-F042-B36E-0E737BB4DCE0}" name="exact_match"/>
    <tableColumn id="5" xr3:uid="{794117C9-B9A3-ED4C-83A3-7DB8C2CD0E64}" name="precision"/>
    <tableColumn id="6" xr3:uid="{B25CF18B-9BAB-AB46-B047-206357E2CC21}" name="recall"/>
    <tableColumn id="7" xr3:uid="{2525EF2D-5DD0-D240-8F4B-5580979F97E9}" name="f1"/>
    <tableColumn id="8" xr3:uid="{682829B7-2C68-F14B-8472-4E8E232AD76F}" name="bert_score"/>
    <tableColumn id="9" xr3:uid="{579E954D-49F6-EF49-A184-66A433AB74ED}" name="prefix">
      <calculatedColumnFormula>IF(ISNUMBER(FIND("yesprefix", B2)), "v", "")</calculatedColumnFormula>
    </tableColumn>
    <tableColumn id="10" xr3:uid="{19586772-5D18-444D-B365-C5B0BB4124A6}" name="prepend">
      <calculatedColumnFormula>IF(ISNUMBER(FIND("yesprepend", B2)), "v", "")</calculatedColumnFormula>
    </tableColumn>
    <tableColumn id="11" xr3:uid="{71686F57-5F53-8E40-BA23-A994A40E8F28}" name="multi-task">
      <calculatedColumnFormula>IF(ISNUMBER(FIND("-ae-", B2)), "", IF(ISNUMBER(FIND("-qg-", B2)), "", "v"))</calculatedColumnFormula>
    </tableColumn>
    <tableColumn id="12" xr3:uid="{7F775C6F-7EA2-B642-95AE-CBCC67136183}" name="task">
      <calculatedColumnFormula>IF(ISNUMBER(FIND("-ae-", B2)), "ae", IF(ISNUMBER(FIND("-qg-", B2)), "qg", "ae-qg"))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F17F8F-2D43-7C40-AE36-D9379FFC7DE7}" name="Table1" displayName="Table1" ref="A1:M97" totalsRowShown="0" headerRowDxfId="15" dataDxfId="14">
  <autoFilter ref="A1:M97" xr:uid="{37F17F8F-2D43-7C40-AE36-D9379FFC7DE7}"/>
  <sortState xmlns:xlrd2="http://schemas.microsoft.com/office/spreadsheetml/2017/richdata2" ref="A4:M97">
    <sortCondition ref="A1:A97"/>
  </sortState>
  <tableColumns count="13">
    <tableColumn id="1" xr3:uid="{C2F859AD-7C61-EC4C-AFAC-9194E8DA90CA}" name="no" dataDxfId="13"/>
    <tableColumn id="2" xr3:uid="{C02F091E-1E71-BF40-BB7B-A7A4C78CC6AF}" name="score" dataDxfId="12"/>
    <tableColumn id="3" xr3:uid="{FDA52FE2-3975-AB4F-B40B-6E31C7BC14A1}" name="baseline" dataDxfId="11"/>
    <tableColumn id="4" xr3:uid="{36A86ABC-F355-7C41-AF28-64E93C9C7E1A}" name="comparison" dataDxfId="10"/>
    <tableColumn id="5" xr3:uid="{FDD03C20-F540-1F4B-9867-F47A5C59192D}" name="cohens_d" dataDxfId="9"/>
    <tableColumn id="6" xr3:uid="{213733EC-EFBE-3B42-9C1E-F85E52EB9986}" name="sd_diff" dataDxfId="8"/>
    <tableColumn id="7" xr3:uid="{2F5D1588-3C42-9147-A02D-BD9C58938EE9}" name="t_stat" dataDxfId="7"/>
    <tableColumn id="8" xr3:uid="{59787C63-4695-2A47-A273-15E6DA184CA9}" name="p_value" dataDxfId="6"/>
    <tableColumn id="9" xr3:uid="{8B50CF2A-0C91-E041-8255-4AE692637B4F}" name="significance" dataDxfId="5"/>
    <tableColumn id="10" xr3:uid="{4F8F94EC-A569-D44F-89D7-032889833F16}" name="p_value_rank" dataDxfId="4"/>
    <tableColumn id="11" xr3:uid="{548B706B-A525-1241-9324-C67E4ADB284F}" name="BH_critical_value" dataDxfId="3">
      <calculatedColumnFormula>J2/96*0.05</calculatedColumnFormula>
    </tableColumn>
    <tableColumn id="12" xr3:uid="{567176C9-5883-544D-9FA9-D0FC541EC7D1}" name="q_value" dataDxfId="2">
      <calculatedColumnFormula>H2*96/J2</calculatedColumnFormula>
    </tableColumn>
    <tableColumn id="13" xr3:uid="{277D7CCB-AF8E-DA4B-82B0-039480A60C4E}" name="fdr_significance" dataDxfId="1">
      <calculatedColumnFormula>IF(H2&lt;=K2, "significant", "non-significant")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F623E-3DD1-E749-A23F-B31BE1D6186C}">
  <dimension ref="A1:M61"/>
  <sheetViews>
    <sheetView topLeftCell="A24" zoomScale="92" zoomScaleNormal="84" workbookViewId="0">
      <selection activeCell="S64" sqref="S64"/>
    </sheetView>
  </sheetViews>
  <sheetFormatPr baseColWidth="10" defaultRowHeight="16" x14ac:dyDescent="0.2"/>
  <cols>
    <col min="1" max="1" width="40.33203125" bestFit="1" customWidth="1"/>
  </cols>
  <sheetData>
    <row r="1" spans="1:13" x14ac:dyDescent="0.2">
      <c r="A1" t="s">
        <v>1</v>
      </c>
      <c r="B1" s="2" t="s">
        <v>3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</row>
    <row r="2" spans="1:13" x14ac:dyDescent="0.2">
      <c r="A2" t="s">
        <v>21</v>
      </c>
      <c r="B2" s="1">
        <v>1</v>
      </c>
      <c r="C2" s="1">
        <v>1.3977999999999999</v>
      </c>
      <c r="D2" s="1">
        <v>4695</v>
      </c>
      <c r="E2" s="1">
        <v>1.3012999999999999</v>
      </c>
      <c r="F2" s="1">
        <v>0.4133</v>
      </c>
      <c r="G2" s="1">
        <v>0.21379999999999999</v>
      </c>
      <c r="H2" s="1">
        <v>0.37990000000000002</v>
      </c>
      <c r="I2" s="1">
        <v>0.38090000000000002</v>
      </c>
      <c r="J2" s="1">
        <v>0.18160000000000001</v>
      </c>
      <c r="L2" s="1"/>
      <c r="M2" s="1"/>
    </row>
    <row r="3" spans="1:13" x14ac:dyDescent="0.2">
      <c r="B3" s="1">
        <v>2</v>
      </c>
      <c r="C3" s="1">
        <v>1.2292000000000001</v>
      </c>
      <c r="D3" s="1">
        <v>9390</v>
      </c>
      <c r="E3" s="1">
        <v>1.2174</v>
      </c>
      <c r="F3" s="1">
        <v>0.42859999999999998</v>
      </c>
      <c r="G3" s="1">
        <v>0.22900000000000001</v>
      </c>
      <c r="H3" s="1">
        <v>0.3952</v>
      </c>
      <c r="I3" s="1">
        <v>0.39639999999999997</v>
      </c>
      <c r="J3" s="1">
        <v>0.19070000000000001</v>
      </c>
      <c r="L3" s="1"/>
      <c r="M3" s="1"/>
    </row>
    <row r="4" spans="1:13" x14ac:dyDescent="0.2">
      <c r="B4" s="1">
        <v>3</v>
      </c>
      <c r="C4" s="1">
        <v>1.0972</v>
      </c>
      <c r="D4" s="1">
        <v>14085</v>
      </c>
      <c r="E4" s="1">
        <v>1.1947000000000001</v>
      </c>
      <c r="F4" s="1">
        <v>0.43559999999999999</v>
      </c>
      <c r="G4" s="1">
        <v>0.2339</v>
      </c>
      <c r="H4" s="1">
        <v>0.40100000000000002</v>
      </c>
      <c r="I4" s="1">
        <v>0.40229999999999999</v>
      </c>
      <c r="J4" s="1">
        <v>0.19189999999999999</v>
      </c>
      <c r="L4" s="1"/>
      <c r="M4" s="1"/>
    </row>
    <row r="5" spans="1:13" x14ac:dyDescent="0.2">
      <c r="B5" s="1">
        <v>4</v>
      </c>
      <c r="C5" s="1">
        <v>1.0301</v>
      </c>
      <c r="D5" s="1">
        <v>18780</v>
      </c>
      <c r="E5" s="1">
        <v>1.1795</v>
      </c>
      <c r="F5" s="1">
        <v>0.43709999999999999</v>
      </c>
      <c r="G5" s="1">
        <v>0.2374</v>
      </c>
      <c r="H5" s="1">
        <v>0.40310000000000001</v>
      </c>
      <c r="I5" s="1">
        <v>0.40450000000000003</v>
      </c>
      <c r="J5" s="1">
        <v>0.19409999999999999</v>
      </c>
      <c r="L5" s="1"/>
      <c r="M5" s="1"/>
    </row>
    <row r="6" spans="1:13" x14ac:dyDescent="0.2">
      <c r="B6" s="1">
        <v>5</v>
      </c>
      <c r="C6" s="1">
        <v>0.99980000000000002</v>
      </c>
      <c r="D6" s="1">
        <v>23475</v>
      </c>
      <c r="E6" s="1">
        <v>1.1747000000000001</v>
      </c>
      <c r="F6" s="1">
        <v>0.44140000000000001</v>
      </c>
      <c r="G6" s="1">
        <v>0.24149999999999999</v>
      </c>
      <c r="H6" s="1">
        <v>0.40670000000000001</v>
      </c>
      <c r="I6" s="1">
        <v>0.4078</v>
      </c>
      <c r="J6" s="1">
        <v>0.19789999999999999</v>
      </c>
      <c r="L6" s="1"/>
      <c r="M6" s="1"/>
    </row>
    <row r="7" spans="1:13" x14ac:dyDescent="0.2">
      <c r="A7" t="s">
        <v>0</v>
      </c>
      <c r="B7" s="1">
        <v>1</v>
      </c>
      <c r="C7" s="1">
        <v>1.4554</v>
      </c>
      <c r="D7" s="1">
        <v>4695</v>
      </c>
      <c r="E7" s="1">
        <v>1.3150999999999999</v>
      </c>
      <c r="F7" s="1">
        <v>0.4093</v>
      </c>
      <c r="G7" s="1">
        <v>0.21210000000000001</v>
      </c>
      <c r="H7" s="1">
        <v>0.3775</v>
      </c>
      <c r="I7" s="1">
        <v>0.3785</v>
      </c>
      <c r="J7" s="1">
        <v>0.17680000000000001</v>
      </c>
    </row>
    <row r="8" spans="1:13" x14ac:dyDescent="0.2">
      <c r="B8" s="1">
        <v>2</v>
      </c>
      <c r="C8" s="1">
        <v>1.2531000000000001</v>
      </c>
      <c r="D8" s="1">
        <v>9390</v>
      </c>
      <c r="E8" s="1">
        <v>1.2397</v>
      </c>
      <c r="F8" s="1">
        <v>0.4204</v>
      </c>
      <c r="G8" s="1">
        <v>0.2235</v>
      </c>
      <c r="H8" s="1">
        <v>0.38750000000000001</v>
      </c>
      <c r="I8" s="1">
        <v>0.38829999999999998</v>
      </c>
      <c r="J8" s="1">
        <v>0.1857</v>
      </c>
    </row>
    <row r="9" spans="1:13" x14ac:dyDescent="0.2">
      <c r="B9" s="1">
        <v>3</v>
      </c>
      <c r="C9" s="1">
        <v>1.1434</v>
      </c>
      <c r="D9" s="1">
        <v>14085</v>
      </c>
      <c r="E9" s="1">
        <v>1.2107000000000001</v>
      </c>
      <c r="F9" s="1">
        <v>0.4325</v>
      </c>
      <c r="G9" s="1">
        <v>0.23580000000000001</v>
      </c>
      <c r="H9" s="1">
        <v>0.39839999999999998</v>
      </c>
      <c r="I9" s="1">
        <v>0.39939999999999998</v>
      </c>
      <c r="J9" s="1">
        <v>0.1933</v>
      </c>
    </row>
    <row r="10" spans="1:13" x14ac:dyDescent="0.2">
      <c r="B10" s="1">
        <v>4</v>
      </c>
      <c r="C10" s="1">
        <v>1.0687</v>
      </c>
      <c r="D10" s="1">
        <v>18780</v>
      </c>
      <c r="E10" s="1">
        <v>1.1825000000000001</v>
      </c>
      <c r="F10" s="1">
        <v>0.43740000000000001</v>
      </c>
      <c r="G10" s="1">
        <v>0.23860000000000001</v>
      </c>
      <c r="H10" s="1">
        <v>0.40250000000000002</v>
      </c>
      <c r="I10" s="1">
        <v>0.40360000000000001</v>
      </c>
      <c r="J10" s="1">
        <v>0.19689999999999999</v>
      </c>
    </row>
    <row r="11" spans="1:13" x14ac:dyDescent="0.2">
      <c r="B11" s="1">
        <v>5</v>
      </c>
      <c r="C11" s="1">
        <v>0.999</v>
      </c>
      <c r="D11" s="1">
        <v>23475</v>
      </c>
      <c r="E11" s="1">
        <v>1.1889000000000001</v>
      </c>
      <c r="F11" s="1">
        <v>0.43840000000000001</v>
      </c>
      <c r="G11" s="1">
        <v>0.24110000000000001</v>
      </c>
      <c r="H11" s="1">
        <v>0.40400000000000003</v>
      </c>
      <c r="I11" s="1">
        <v>0.40510000000000002</v>
      </c>
      <c r="J11" s="1">
        <v>0.19789999999999999</v>
      </c>
    </row>
    <row r="12" spans="1:13" x14ac:dyDescent="0.2">
      <c r="A12" t="s">
        <v>11</v>
      </c>
      <c r="B12" s="1">
        <v>1</v>
      </c>
      <c r="C12" s="1">
        <v>1.3900999999999999</v>
      </c>
      <c r="D12" s="1">
        <v>9390</v>
      </c>
      <c r="E12" s="1">
        <v>1.2808999999999999</v>
      </c>
      <c r="F12" s="1">
        <v>0.40439999999999998</v>
      </c>
      <c r="G12" s="1">
        <v>0.2092</v>
      </c>
      <c r="H12" s="1">
        <v>0.373</v>
      </c>
      <c r="I12" s="1">
        <v>0.37390000000000001</v>
      </c>
      <c r="J12" s="1">
        <v>0.17019999999999999</v>
      </c>
    </row>
    <row r="13" spans="1:13" x14ac:dyDescent="0.2">
      <c r="B13" s="1">
        <v>2</v>
      </c>
      <c r="C13" s="1">
        <v>1.2087000000000001</v>
      </c>
      <c r="D13" s="1">
        <v>18780</v>
      </c>
      <c r="E13" s="1">
        <v>1.2079</v>
      </c>
      <c r="F13" s="1">
        <v>0.42880000000000001</v>
      </c>
      <c r="G13" s="1">
        <v>0.2303</v>
      </c>
      <c r="H13" s="1">
        <v>0.39419999999999999</v>
      </c>
      <c r="I13" s="1">
        <v>0.3952</v>
      </c>
      <c r="J13" s="1">
        <v>0.19120000000000001</v>
      </c>
    </row>
    <row r="14" spans="1:13" x14ac:dyDescent="0.2">
      <c r="B14" s="1">
        <v>3</v>
      </c>
      <c r="C14" s="1">
        <v>1.0683</v>
      </c>
      <c r="D14" s="1">
        <v>28170</v>
      </c>
      <c r="E14" s="1">
        <v>1.1847000000000001</v>
      </c>
      <c r="F14" s="1">
        <v>0.43319999999999997</v>
      </c>
      <c r="G14" s="1">
        <v>0.23580000000000001</v>
      </c>
      <c r="H14" s="1">
        <v>0.39850000000000002</v>
      </c>
      <c r="I14" s="1">
        <v>0.3997</v>
      </c>
      <c r="J14" s="1">
        <v>0.191</v>
      </c>
    </row>
    <row r="15" spans="1:13" x14ac:dyDescent="0.2">
      <c r="B15" s="1">
        <v>4</v>
      </c>
      <c r="C15" s="1">
        <v>0.97170000000000001</v>
      </c>
      <c r="D15" s="1">
        <v>37560</v>
      </c>
      <c r="E15" s="1">
        <v>1.18</v>
      </c>
      <c r="F15" s="1">
        <v>0.44169999999999998</v>
      </c>
      <c r="G15" s="1">
        <v>0.24390000000000001</v>
      </c>
      <c r="H15" s="1">
        <v>0.40739999999999998</v>
      </c>
      <c r="I15" s="1">
        <v>0.40839999999999999</v>
      </c>
      <c r="J15" s="1">
        <v>0.19889999999999999</v>
      </c>
    </row>
    <row r="16" spans="1:13" x14ac:dyDescent="0.2">
      <c r="B16" s="1">
        <v>5</v>
      </c>
      <c r="C16" s="1">
        <v>0.88980000000000004</v>
      </c>
      <c r="D16" s="1">
        <v>46950</v>
      </c>
      <c r="E16" s="1">
        <v>1.1796</v>
      </c>
      <c r="F16" s="1">
        <v>0.44540000000000002</v>
      </c>
      <c r="G16" s="1">
        <v>0.24629999999999999</v>
      </c>
      <c r="H16" s="1">
        <v>0.40949999999999998</v>
      </c>
      <c r="I16" s="1">
        <v>0.41070000000000001</v>
      </c>
      <c r="J16" s="1">
        <v>0.20119999999999999</v>
      </c>
    </row>
    <row r="17" spans="1:12" x14ac:dyDescent="0.2">
      <c r="A17" t="s">
        <v>12</v>
      </c>
      <c r="B17" s="1">
        <v>1</v>
      </c>
      <c r="C17" s="1">
        <v>1.7448999999999999</v>
      </c>
      <c r="D17" s="1">
        <v>12000</v>
      </c>
      <c r="E17" s="1">
        <v>1.5397000000000001</v>
      </c>
      <c r="F17" s="1">
        <v>0.37180000000000002</v>
      </c>
      <c r="G17" s="1">
        <v>0.19650000000000001</v>
      </c>
      <c r="H17" s="1">
        <v>0.3533</v>
      </c>
      <c r="I17" s="1">
        <v>0.35349999999999998</v>
      </c>
      <c r="J17" s="1">
        <v>0.1399</v>
      </c>
    </row>
    <row r="18" spans="1:12" x14ac:dyDescent="0.2">
      <c r="B18" s="1">
        <v>2</v>
      </c>
      <c r="C18" s="1">
        <v>1.4802</v>
      </c>
      <c r="D18" s="1">
        <v>24000</v>
      </c>
      <c r="E18" s="1">
        <v>1.4458</v>
      </c>
      <c r="F18" s="1">
        <v>0.39029999999999998</v>
      </c>
      <c r="G18" s="1">
        <v>0.2079</v>
      </c>
      <c r="H18" s="1">
        <v>0.3715</v>
      </c>
      <c r="I18" s="1">
        <v>0.37180000000000002</v>
      </c>
      <c r="J18" s="1">
        <v>0.14990000000000001</v>
      </c>
    </row>
    <row r="19" spans="1:12" x14ac:dyDescent="0.2">
      <c r="B19" s="1">
        <v>3</v>
      </c>
      <c r="C19" s="1">
        <v>1.3735999999999999</v>
      </c>
      <c r="D19" s="1">
        <v>36000</v>
      </c>
      <c r="E19" s="1">
        <v>1.4235</v>
      </c>
      <c r="F19" s="1">
        <v>0.39939999999999998</v>
      </c>
      <c r="G19" s="1">
        <v>0.21490000000000001</v>
      </c>
      <c r="H19" s="1">
        <v>0.37940000000000002</v>
      </c>
      <c r="I19" s="1">
        <v>0.37990000000000002</v>
      </c>
      <c r="J19" s="1">
        <v>0.1595</v>
      </c>
    </row>
    <row r="20" spans="1:12" x14ac:dyDescent="0.2">
      <c r="B20" s="1">
        <v>4</v>
      </c>
      <c r="C20" s="1">
        <v>1.2742</v>
      </c>
      <c r="D20" s="1">
        <v>48000</v>
      </c>
      <c r="E20" s="1">
        <v>1.4191</v>
      </c>
      <c r="F20" s="1">
        <v>0.4027</v>
      </c>
      <c r="G20" s="1">
        <v>0.21790000000000001</v>
      </c>
      <c r="H20" s="1">
        <v>0.38300000000000001</v>
      </c>
      <c r="I20" s="1">
        <v>0.38329999999999997</v>
      </c>
      <c r="J20" s="1">
        <v>0.16270000000000001</v>
      </c>
    </row>
    <row r="21" spans="1:12" x14ac:dyDescent="0.2">
      <c r="B21" s="1">
        <v>5</v>
      </c>
      <c r="C21" s="1">
        <v>1.1520999999999999</v>
      </c>
      <c r="D21" s="1">
        <v>60000</v>
      </c>
      <c r="E21" s="1">
        <v>1.4294</v>
      </c>
      <c r="F21" s="1">
        <v>0.40810000000000002</v>
      </c>
      <c r="G21" s="1">
        <v>0.2248</v>
      </c>
      <c r="H21" s="1">
        <v>0.38719999999999999</v>
      </c>
      <c r="I21" s="1">
        <v>0.3876</v>
      </c>
      <c r="J21" s="1">
        <v>0.17710000000000001</v>
      </c>
    </row>
    <row r="22" spans="1:12" x14ac:dyDescent="0.2">
      <c r="A22" t="s">
        <v>13</v>
      </c>
      <c r="B22" s="1">
        <v>1</v>
      </c>
      <c r="C22" s="1">
        <v>1.7614000000000001</v>
      </c>
      <c r="D22" s="1">
        <v>12000</v>
      </c>
      <c r="E22" s="1">
        <v>1.5188999999999999</v>
      </c>
      <c r="F22" s="1">
        <v>0.36880000000000002</v>
      </c>
      <c r="G22" s="1">
        <v>0.19450000000000001</v>
      </c>
      <c r="H22" s="1">
        <v>0.35010000000000002</v>
      </c>
      <c r="I22" s="1">
        <v>0.35010000000000002</v>
      </c>
      <c r="J22" s="1">
        <v>0.1421</v>
      </c>
      <c r="K22" s="1"/>
      <c r="L22" s="1"/>
    </row>
    <row r="23" spans="1:12" x14ac:dyDescent="0.2">
      <c r="B23" s="1">
        <v>2</v>
      </c>
      <c r="C23" s="1">
        <v>1.5305</v>
      </c>
      <c r="D23" s="1">
        <v>24000</v>
      </c>
      <c r="E23" s="1">
        <v>1.4391</v>
      </c>
      <c r="F23" s="1">
        <v>0.38650000000000001</v>
      </c>
      <c r="G23" s="1">
        <v>0.20979999999999999</v>
      </c>
      <c r="H23" s="1">
        <v>0.36649999999999999</v>
      </c>
      <c r="I23" s="1">
        <v>0.3664</v>
      </c>
      <c r="J23" s="1">
        <v>0.1615</v>
      </c>
      <c r="K23" s="1"/>
      <c r="L23" s="1"/>
    </row>
    <row r="24" spans="1:12" x14ac:dyDescent="0.2">
      <c r="B24" s="1">
        <v>3</v>
      </c>
      <c r="C24" s="1">
        <v>1.3787</v>
      </c>
      <c r="D24" s="1">
        <v>36000</v>
      </c>
      <c r="E24" s="1">
        <v>1.4252</v>
      </c>
      <c r="F24" s="1">
        <v>0.40110000000000001</v>
      </c>
      <c r="G24" s="1">
        <v>0.22059999999999999</v>
      </c>
      <c r="H24" s="1">
        <v>0.38059999999999999</v>
      </c>
      <c r="I24" s="1">
        <v>0.38059999999999999</v>
      </c>
      <c r="J24" s="1">
        <v>0.18179999999999999</v>
      </c>
      <c r="K24" s="1"/>
      <c r="L24" s="1"/>
    </row>
    <row r="25" spans="1:12" x14ac:dyDescent="0.2">
      <c r="B25" s="1">
        <v>4</v>
      </c>
      <c r="C25" s="1">
        <v>1.2495000000000001</v>
      </c>
      <c r="D25" s="1">
        <v>48000</v>
      </c>
      <c r="E25" s="1">
        <v>1.4133</v>
      </c>
      <c r="F25" s="1">
        <v>0.39910000000000001</v>
      </c>
      <c r="G25" s="1">
        <v>0.21829999999999999</v>
      </c>
      <c r="H25" s="1">
        <v>0.37909999999999999</v>
      </c>
      <c r="I25" s="1">
        <v>0.37919999999999998</v>
      </c>
      <c r="J25" s="1">
        <v>0.16669999999999999</v>
      </c>
      <c r="K25" s="1"/>
      <c r="L25" s="1"/>
    </row>
    <row r="26" spans="1:12" x14ac:dyDescent="0.2">
      <c r="B26" s="1">
        <v>5</v>
      </c>
      <c r="C26" s="1">
        <v>1.1253</v>
      </c>
      <c r="D26" s="1">
        <v>60000</v>
      </c>
      <c r="E26" s="1">
        <v>1.4268000000000001</v>
      </c>
      <c r="F26" s="1">
        <v>0.40389999999999998</v>
      </c>
      <c r="G26" s="1">
        <v>0.22370000000000001</v>
      </c>
      <c r="H26" s="1">
        <v>0.38350000000000001</v>
      </c>
      <c r="I26" s="1">
        <v>0.38340000000000002</v>
      </c>
      <c r="J26" s="1">
        <v>0.17549999999999999</v>
      </c>
    </row>
    <row r="27" spans="1:12" x14ac:dyDescent="0.2">
      <c r="A27" t="s">
        <v>14</v>
      </c>
      <c r="B27" s="1">
        <v>1</v>
      </c>
      <c r="C27" s="1">
        <v>1.7485999999999999</v>
      </c>
      <c r="D27" s="1">
        <v>12000</v>
      </c>
      <c r="E27" s="1">
        <v>1.4755</v>
      </c>
      <c r="F27" s="1">
        <v>0.37780000000000002</v>
      </c>
      <c r="G27" s="1">
        <v>0.20069999999999999</v>
      </c>
      <c r="H27" s="1">
        <v>0.35859999999999997</v>
      </c>
      <c r="I27" s="1">
        <v>0.3589</v>
      </c>
      <c r="J27" s="1">
        <v>0.15079999999999999</v>
      </c>
      <c r="K27" s="1"/>
      <c r="L27" s="1"/>
    </row>
    <row r="28" spans="1:12" x14ac:dyDescent="0.2">
      <c r="B28" s="1">
        <v>2</v>
      </c>
      <c r="C28" s="1">
        <v>1.5034000000000001</v>
      </c>
      <c r="D28" s="1">
        <v>24000</v>
      </c>
      <c r="E28" s="1">
        <v>1.4297</v>
      </c>
      <c r="F28" s="1">
        <v>0.39419999999999999</v>
      </c>
      <c r="G28" s="1">
        <v>0.2145</v>
      </c>
      <c r="H28" s="1">
        <v>0.37280000000000002</v>
      </c>
      <c r="I28" s="1">
        <v>0.373</v>
      </c>
      <c r="J28" s="1">
        <v>0.18340000000000001</v>
      </c>
      <c r="K28" s="1"/>
      <c r="L28" s="1"/>
    </row>
    <row r="29" spans="1:12" x14ac:dyDescent="0.2">
      <c r="B29" s="1">
        <v>3</v>
      </c>
      <c r="C29" s="1">
        <v>1.3515999999999999</v>
      </c>
      <c r="D29" s="1">
        <v>36000</v>
      </c>
      <c r="E29" s="1">
        <v>1.4047000000000001</v>
      </c>
      <c r="F29" s="1">
        <v>0.39839999999999998</v>
      </c>
      <c r="G29" s="1">
        <v>0.2165</v>
      </c>
      <c r="H29" s="1">
        <v>0.37840000000000001</v>
      </c>
      <c r="I29" s="1">
        <v>0.37859999999999999</v>
      </c>
      <c r="J29" s="1">
        <v>0.16739999999999999</v>
      </c>
      <c r="K29" s="1"/>
      <c r="L29" s="1"/>
    </row>
    <row r="30" spans="1:12" x14ac:dyDescent="0.2">
      <c r="B30" s="1">
        <v>4</v>
      </c>
      <c r="C30" s="1">
        <v>1.1970000000000001</v>
      </c>
      <c r="D30" s="1">
        <v>48000</v>
      </c>
      <c r="E30" s="1">
        <v>1.4074</v>
      </c>
      <c r="F30" s="1">
        <v>0.40560000000000002</v>
      </c>
      <c r="G30" s="1">
        <v>0.2238</v>
      </c>
      <c r="H30" s="1">
        <v>0.38550000000000001</v>
      </c>
      <c r="I30" s="1">
        <v>0.3856</v>
      </c>
      <c r="J30" s="1">
        <v>0.16900000000000001</v>
      </c>
      <c r="K30" s="1"/>
      <c r="L30" s="1"/>
    </row>
    <row r="31" spans="1:12" x14ac:dyDescent="0.2">
      <c r="B31" s="1">
        <v>5</v>
      </c>
      <c r="C31" s="1">
        <v>1.1207</v>
      </c>
      <c r="D31" s="1">
        <v>60000</v>
      </c>
      <c r="E31" s="1">
        <v>1.4085000000000001</v>
      </c>
      <c r="F31" s="1">
        <v>0.41089999999999999</v>
      </c>
      <c r="G31" s="1">
        <v>0.2278</v>
      </c>
      <c r="H31" s="1">
        <v>0.39040000000000002</v>
      </c>
      <c r="I31" s="1">
        <v>0.39050000000000001</v>
      </c>
      <c r="J31" s="1">
        <v>0.18110000000000001</v>
      </c>
    </row>
    <row r="32" spans="1:12" x14ac:dyDescent="0.2">
      <c r="A32" t="s">
        <v>15</v>
      </c>
      <c r="B32" s="1">
        <v>1</v>
      </c>
      <c r="C32" s="1">
        <v>1.4001999999999999</v>
      </c>
      <c r="D32" s="1">
        <v>2281</v>
      </c>
      <c r="E32" s="1">
        <v>1.0726</v>
      </c>
      <c r="F32" s="1">
        <v>0.44779999999999998</v>
      </c>
      <c r="G32" s="1">
        <v>0.28070000000000001</v>
      </c>
      <c r="H32" s="1">
        <v>0.44590000000000002</v>
      </c>
      <c r="I32" s="1">
        <v>0.44629999999999997</v>
      </c>
      <c r="J32" s="1">
        <v>0.28620000000000001</v>
      </c>
      <c r="K32" s="1"/>
      <c r="L32" s="1"/>
    </row>
    <row r="33" spans="1:12" x14ac:dyDescent="0.2">
      <c r="B33" s="1">
        <v>2</v>
      </c>
      <c r="C33" s="1">
        <v>1.042</v>
      </c>
      <c r="D33" s="1">
        <v>4562</v>
      </c>
      <c r="E33" s="1">
        <v>0.97950000000000004</v>
      </c>
      <c r="F33" s="1">
        <v>0.4753</v>
      </c>
      <c r="G33" s="1">
        <v>0.30470000000000003</v>
      </c>
      <c r="H33" s="1">
        <v>0.47420000000000001</v>
      </c>
      <c r="I33" s="1">
        <v>0.4733</v>
      </c>
      <c r="J33" s="1">
        <v>0.29759999999999998</v>
      </c>
      <c r="K33" s="1"/>
      <c r="L33" s="1"/>
    </row>
    <row r="34" spans="1:12" x14ac:dyDescent="0.2">
      <c r="B34" s="1">
        <v>3</v>
      </c>
      <c r="C34" s="1">
        <v>0.90459999999999996</v>
      </c>
      <c r="D34" s="1">
        <v>6843</v>
      </c>
      <c r="E34" s="1">
        <v>0.93510000000000004</v>
      </c>
      <c r="F34" s="1">
        <v>0.49440000000000001</v>
      </c>
      <c r="G34" s="1">
        <v>0.32929999999999998</v>
      </c>
      <c r="H34" s="1">
        <v>0.49299999999999999</v>
      </c>
      <c r="I34" s="1">
        <v>0.4924</v>
      </c>
      <c r="J34" s="1">
        <v>0.32</v>
      </c>
      <c r="K34" s="1"/>
      <c r="L34" s="1"/>
    </row>
    <row r="35" spans="1:12" x14ac:dyDescent="0.2">
      <c r="B35" s="1">
        <v>4</v>
      </c>
      <c r="C35" s="1">
        <v>0.7298</v>
      </c>
      <c r="D35" s="1">
        <v>9124</v>
      </c>
      <c r="E35" s="1">
        <v>0.92969999999999997</v>
      </c>
      <c r="F35" s="1">
        <v>0.50939999999999996</v>
      </c>
      <c r="G35" s="1">
        <v>0.33539999999999998</v>
      </c>
      <c r="H35" s="1">
        <v>0.50790000000000002</v>
      </c>
      <c r="I35" s="1">
        <v>0.50770000000000004</v>
      </c>
      <c r="J35" s="1">
        <v>0.3322</v>
      </c>
      <c r="K35" s="1"/>
      <c r="L35" s="1"/>
    </row>
    <row r="36" spans="1:12" x14ac:dyDescent="0.2">
      <c r="B36" s="1">
        <v>5</v>
      </c>
      <c r="C36" s="1">
        <v>0.66020000000000001</v>
      </c>
      <c r="D36" s="1">
        <v>11405</v>
      </c>
      <c r="E36" s="1">
        <v>0.94279999999999997</v>
      </c>
      <c r="F36" s="1">
        <v>0.50700000000000001</v>
      </c>
      <c r="G36" s="1">
        <v>0.33560000000000001</v>
      </c>
      <c r="H36" s="1">
        <v>0.50580000000000003</v>
      </c>
      <c r="I36" s="1">
        <v>0.50529999999999997</v>
      </c>
      <c r="J36" s="1">
        <v>0.33650000000000002</v>
      </c>
    </row>
    <row r="37" spans="1:12" x14ac:dyDescent="0.2">
      <c r="A37" t="s">
        <v>16</v>
      </c>
      <c r="B37" s="1">
        <v>1</v>
      </c>
      <c r="C37" s="1">
        <v>1.4087000000000001</v>
      </c>
      <c r="D37" s="1">
        <v>2281</v>
      </c>
      <c r="E37" s="1">
        <v>0.98750000000000004</v>
      </c>
      <c r="F37" s="1">
        <v>0.46229999999999999</v>
      </c>
      <c r="G37" s="1">
        <v>0.29389999999999999</v>
      </c>
      <c r="H37" s="1">
        <v>0.46129999999999999</v>
      </c>
      <c r="I37" s="1">
        <v>0.46060000000000001</v>
      </c>
      <c r="J37" s="1">
        <v>0.31280000000000002</v>
      </c>
      <c r="K37" s="1"/>
      <c r="L37" s="1"/>
    </row>
    <row r="38" spans="1:12" x14ac:dyDescent="0.2">
      <c r="B38" s="1">
        <v>2</v>
      </c>
      <c r="C38" s="1">
        <v>1.0619000000000001</v>
      </c>
      <c r="D38" s="1">
        <v>4562</v>
      </c>
      <c r="E38" s="1">
        <v>0.87080000000000002</v>
      </c>
      <c r="F38" s="1">
        <v>0.51339999999999997</v>
      </c>
      <c r="G38" s="1">
        <v>0.34139999999999998</v>
      </c>
      <c r="H38" s="1">
        <v>0.51119999999999999</v>
      </c>
      <c r="I38" s="1">
        <v>0.51080000000000003</v>
      </c>
      <c r="J38" s="1">
        <v>0.33379999999999999</v>
      </c>
      <c r="K38" s="1"/>
      <c r="L38" s="1"/>
    </row>
    <row r="39" spans="1:12" x14ac:dyDescent="0.2">
      <c r="B39" s="1">
        <v>3</v>
      </c>
      <c r="C39" s="1">
        <v>0.89939999999999998</v>
      </c>
      <c r="D39" s="1">
        <v>6843</v>
      </c>
      <c r="E39" s="1">
        <v>0.86890000000000001</v>
      </c>
      <c r="F39" s="1">
        <v>0.51949999999999996</v>
      </c>
      <c r="G39" s="1">
        <v>0.34839999999999999</v>
      </c>
      <c r="H39" s="1">
        <v>0.5181</v>
      </c>
      <c r="I39" s="1">
        <v>0.51800000000000002</v>
      </c>
      <c r="J39" s="1">
        <v>0.34320000000000001</v>
      </c>
      <c r="K39" s="1"/>
      <c r="L39" s="1"/>
    </row>
    <row r="40" spans="1:12" x14ac:dyDescent="0.2">
      <c r="B40" s="1">
        <v>4</v>
      </c>
      <c r="C40" s="1">
        <v>0.72309999999999997</v>
      </c>
      <c r="D40" s="1">
        <v>9124</v>
      </c>
      <c r="E40" s="1">
        <v>0.85360000000000003</v>
      </c>
      <c r="F40" s="1">
        <v>0.51319999999999999</v>
      </c>
      <c r="G40" s="1">
        <v>0.33610000000000001</v>
      </c>
      <c r="H40" s="1">
        <v>0.51219999999999999</v>
      </c>
      <c r="I40" s="1">
        <v>0.51170000000000004</v>
      </c>
      <c r="J40" s="1">
        <v>0.3347</v>
      </c>
      <c r="K40" s="1"/>
      <c r="L40" s="1"/>
    </row>
    <row r="41" spans="1:12" x14ac:dyDescent="0.2">
      <c r="B41" s="1">
        <v>5</v>
      </c>
      <c r="C41" s="1">
        <v>0.66180000000000005</v>
      </c>
      <c r="D41" s="1">
        <v>11405</v>
      </c>
      <c r="E41" s="1">
        <v>0.86970000000000003</v>
      </c>
      <c r="F41" s="1">
        <v>0.52400000000000002</v>
      </c>
      <c r="G41" s="1">
        <v>0.3498</v>
      </c>
      <c r="H41" s="1">
        <v>0.52270000000000005</v>
      </c>
      <c r="I41" s="1">
        <v>0.52229999999999999</v>
      </c>
      <c r="J41" s="1">
        <v>0.34320000000000001</v>
      </c>
    </row>
    <row r="42" spans="1:12" x14ac:dyDescent="0.2">
      <c r="A42" t="s">
        <v>17</v>
      </c>
      <c r="B42" s="1">
        <v>1</v>
      </c>
      <c r="C42" s="1">
        <v>1.4155</v>
      </c>
      <c r="D42" s="1">
        <v>2281</v>
      </c>
      <c r="E42" s="1">
        <v>0.98619999999999997</v>
      </c>
      <c r="F42" s="1">
        <v>0.45829999999999999</v>
      </c>
      <c r="G42" s="1">
        <v>0.29380000000000001</v>
      </c>
      <c r="H42" s="1">
        <v>0.45650000000000002</v>
      </c>
      <c r="I42" s="1">
        <v>0.45669999999999999</v>
      </c>
      <c r="J42" s="1">
        <v>0.27950000000000003</v>
      </c>
      <c r="K42" s="1"/>
      <c r="L42" s="1"/>
    </row>
    <row r="43" spans="1:12" x14ac:dyDescent="0.2">
      <c r="B43" s="1">
        <v>2</v>
      </c>
      <c r="C43" s="1">
        <v>1.0779000000000001</v>
      </c>
      <c r="D43" s="1">
        <v>4562</v>
      </c>
      <c r="E43" s="1">
        <v>0.94340000000000002</v>
      </c>
      <c r="F43" s="1">
        <v>0.48830000000000001</v>
      </c>
      <c r="G43" s="1">
        <v>0.31559999999999999</v>
      </c>
      <c r="H43" s="1">
        <v>0.48630000000000001</v>
      </c>
      <c r="I43" s="1">
        <v>0.48680000000000001</v>
      </c>
      <c r="J43" s="1">
        <v>0.3019</v>
      </c>
      <c r="K43" s="1"/>
      <c r="L43" s="1"/>
    </row>
    <row r="44" spans="1:12" x14ac:dyDescent="0.2">
      <c r="B44" s="1">
        <v>3</v>
      </c>
      <c r="C44" s="1">
        <v>0.91039999999999999</v>
      </c>
      <c r="D44" s="1">
        <v>6843</v>
      </c>
      <c r="E44" s="1">
        <v>0.89539999999999997</v>
      </c>
      <c r="F44" s="1">
        <v>0.50070000000000003</v>
      </c>
      <c r="G44" s="1">
        <v>0.32990000000000003</v>
      </c>
      <c r="H44" s="1">
        <v>0.4985</v>
      </c>
      <c r="I44" s="1">
        <v>0.49840000000000001</v>
      </c>
      <c r="J44" s="1">
        <v>0.31540000000000001</v>
      </c>
      <c r="K44" s="1"/>
      <c r="L44" s="1"/>
    </row>
    <row r="45" spans="1:12" x14ac:dyDescent="0.2">
      <c r="B45" s="1">
        <v>4</v>
      </c>
      <c r="C45" s="1">
        <v>0.73970000000000002</v>
      </c>
      <c r="D45" s="1">
        <v>9124</v>
      </c>
      <c r="E45" s="1">
        <v>0.9022</v>
      </c>
      <c r="F45" s="1">
        <v>0.51149999999999995</v>
      </c>
      <c r="G45" s="1">
        <v>0.33750000000000002</v>
      </c>
      <c r="H45" s="1">
        <v>0.50919999999999999</v>
      </c>
      <c r="I45" s="1">
        <v>0.50919999999999999</v>
      </c>
      <c r="J45" s="1">
        <v>0.32719999999999999</v>
      </c>
      <c r="K45" s="1"/>
      <c r="L45" s="1"/>
    </row>
    <row r="46" spans="1:12" x14ac:dyDescent="0.2">
      <c r="B46" s="1">
        <v>5</v>
      </c>
      <c r="C46" s="1">
        <v>0.71460000000000001</v>
      </c>
      <c r="D46" s="1">
        <v>11405</v>
      </c>
      <c r="E46" s="1">
        <v>0.9052</v>
      </c>
      <c r="F46" s="1">
        <v>0.51770000000000005</v>
      </c>
      <c r="G46" s="1">
        <v>0.3448</v>
      </c>
      <c r="H46" s="1">
        <v>0.51470000000000005</v>
      </c>
      <c r="I46" s="1">
        <v>0.51500000000000001</v>
      </c>
      <c r="J46" s="1">
        <v>0.32919999999999999</v>
      </c>
    </row>
    <row r="47" spans="1:12" x14ac:dyDescent="0.2">
      <c r="A47" t="s">
        <v>18</v>
      </c>
      <c r="B47" s="1">
        <v>1</v>
      </c>
      <c r="C47" s="1">
        <v>1.7678</v>
      </c>
      <c r="D47" s="1">
        <v>2281</v>
      </c>
      <c r="E47" s="1">
        <v>1.4692000000000001</v>
      </c>
      <c r="F47" s="1">
        <v>0.4713</v>
      </c>
      <c r="G47" s="1">
        <v>0.2989</v>
      </c>
      <c r="H47" s="1">
        <v>0.4698</v>
      </c>
      <c r="I47" s="1">
        <v>0.47020000000000001</v>
      </c>
      <c r="J47" s="1">
        <v>0.29699999999999999</v>
      </c>
      <c r="K47" s="1"/>
      <c r="L47" s="1"/>
    </row>
    <row r="48" spans="1:12" x14ac:dyDescent="0.2">
      <c r="B48" s="1">
        <v>2</v>
      </c>
      <c r="C48" s="1">
        <v>1.3411999999999999</v>
      </c>
      <c r="D48" s="1">
        <v>4562</v>
      </c>
      <c r="E48" s="1">
        <v>1.3334999999999999</v>
      </c>
      <c r="F48" s="1">
        <v>0.50160000000000005</v>
      </c>
      <c r="G48" s="1">
        <v>0.3286</v>
      </c>
      <c r="H48" s="1">
        <v>0.50109999999999999</v>
      </c>
      <c r="I48" s="1">
        <v>0.50080000000000002</v>
      </c>
      <c r="J48" s="1">
        <v>0.32119999999999999</v>
      </c>
      <c r="K48" s="1"/>
      <c r="L48" s="1"/>
    </row>
    <row r="49" spans="1:12" x14ac:dyDescent="0.2">
      <c r="B49" s="1">
        <v>3</v>
      </c>
      <c r="C49" s="1">
        <v>1.1348</v>
      </c>
      <c r="D49" s="1">
        <v>6843</v>
      </c>
      <c r="E49" s="1">
        <v>1.302</v>
      </c>
      <c r="F49" s="1">
        <v>0.51590000000000003</v>
      </c>
      <c r="G49" s="1">
        <v>0.33739999999999998</v>
      </c>
      <c r="H49" s="1">
        <v>0.51480000000000004</v>
      </c>
      <c r="I49" s="1">
        <v>0.51439999999999997</v>
      </c>
      <c r="J49" s="1">
        <v>0.32800000000000001</v>
      </c>
      <c r="K49" s="1"/>
      <c r="L49" s="1"/>
    </row>
    <row r="50" spans="1:12" x14ac:dyDescent="0.2">
      <c r="B50" s="1">
        <v>4</v>
      </c>
      <c r="C50" s="1">
        <v>1.0722</v>
      </c>
      <c r="D50" s="1">
        <v>9124</v>
      </c>
      <c r="E50" s="1">
        <v>1.2946</v>
      </c>
      <c r="F50" s="1">
        <v>0.51549999999999996</v>
      </c>
      <c r="G50" s="1">
        <v>0.3382</v>
      </c>
      <c r="H50" s="1">
        <v>0.51449999999999996</v>
      </c>
      <c r="I50" s="1">
        <v>0.51419999999999999</v>
      </c>
      <c r="J50" s="1">
        <v>0.32829999999999998</v>
      </c>
      <c r="K50" s="1"/>
      <c r="L50" s="1"/>
    </row>
    <row r="51" spans="1:12" x14ac:dyDescent="0.2">
      <c r="B51" s="1">
        <v>5</v>
      </c>
      <c r="C51" s="1">
        <v>0.92600000000000005</v>
      </c>
      <c r="D51" s="1">
        <v>11405</v>
      </c>
      <c r="E51" s="1">
        <v>1.3146</v>
      </c>
      <c r="F51" s="1">
        <v>0.52049999999999996</v>
      </c>
      <c r="G51" s="1">
        <v>0.33879999999999999</v>
      </c>
      <c r="H51" s="1">
        <v>0.51949999999999996</v>
      </c>
      <c r="I51" s="1">
        <v>0.51890000000000003</v>
      </c>
      <c r="J51" s="1">
        <v>0.3306</v>
      </c>
    </row>
    <row r="52" spans="1:12" x14ac:dyDescent="0.2">
      <c r="A52" t="s">
        <v>19</v>
      </c>
      <c r="B52" s="1">
        <v>1</v>
      </c>
      <c r="C52" s="1">
        <v>1.7889999999999999</v>
      </c>
      <c r="D52" s="1">
        <v>2281</v>
      </c>
      <c r="E52" s="1">
        <v>1.2452000000000001</v>
      </c>
      <c r="F52" s="1">
        <v>0.49490000000000001</v>
      </c>
      <c r="G52" s="1">
        <v>0.32269999999999999</v>
      </c>
      <c r="H52" s="1">
        <v>0.49340000000000001</v>
      </c>
      <c r="I52" s="1">
        <v>0.49309999999999998</v>
      </c>
      <c r="J52" s="1">
        <v>0.32019999999999998</v>
      </c>
      <c r="K52" s="1"/>
      <c r="L52" s="1"/>
    </row>
    <row r="53" spans="1:12" x14ac:dyDescent="0.2">
      <c r="B53" s="1">
        <v>2</v>
      </c>
      <c r="C53" s="1">
        <v>1.4058999999999999</v>
      </c>
      <c r="D53" s="1">
        <v>4562</v>
      </c>
      <c r="E53" s="1">
        <v>1.1658999999999999</v>
      </c>
      <c r="F53" s="1">
        <v>0.5302</v>
      </c>
      <c r="G53" s="1">
        <v>0.35399999999999998</v>
      </c>
      <c r="H53" s="1">
        <v>0.52859999999999996</v>
      </c>
      <c r="I53" s="1">
        <v>0.52880000000000005</v>
      </c>
      <c r="J53" s="1">
        <v>0.33800000000000002</v>
      </c>
      <c r="K53" s="1"/>
      <c r="L53" s="1"/>
    </row>
    <row r="54" spans="1:12" x14ac:dyDescent="0.2">
      <c r="B54" s="1">
        <v>3</v>
      </c>
      <c r="C54" s="1">
        <v>1.1986000000000001</v>
      </c>
      <c r="D54" s="1">
        <v>6843</v>
      </c>
      <c r="E54" s="1">
        <v>1.1657999999999999</v>
      </c>
      <c r="F54" s="1">
        <v>0.53590000000000004</v>
      </c>
      <c r="G54" s="1">
        <v>0.35630000000000001</v>
      </c>
      <c r="H54" s="1">
        <v>0.53420000000000001</v>
      </c>
      <c r="I54" s="1">
        <v>0.53510000000000002</v>
      </c>
      <c r="J54" s="1">
        <v>0.35239999999999999</v>
      </c>
      <c r="K54" s="1"/>
      <c r="L54" s="1"/>
    </row>
    <row r="55" spans="1:12" x14ac:dyDescent="0.2">
      <c r="B55" s="1">
        <v>4</v>
      </c>
      <c r="C55" s="1">
        <v>0.99529999999999996</v>
      </c>
      <c r="D55" s="1">
        <v>9124</v>
      </c>
      <c r="E55" s="1">
        <v>1.1488</v>
      </c>
      <c r="F55" s="1">
        <v>0.53129999999999999</v>
      </c>
      <c r="G55" s="1">
        <v>0.35099999999999998</v>
      </c>
      <c r="H55" s="1">
        <v>0.52980000000000005</v>
      </c>
      <c r="I55" s="1">
        <v>0.53039999999999998</v>
      </c>
      <c r="J55" s="1">
        <v>0.3463</v>
      </c>
      <c r="K55" s="1"/>
      <c r="L55" s="1"/>
    </row>
    <row r="56" spans="1:12" x14ac:dyDescent="0.2">
      <c r="B56" s="1">
        <v>5</v>
      </c>
      <c r="C56" s="1">
        <v>0.93940000000000001</v>
      </c>
      <c r="D56" s="1">
        <v>11405</v>
      </c>
      <c r="E56" s="1">
        <v>1.1591</v>
      </c>
      <c r="F56" s="1">
        <v>0.53959999999999997</v>
      </c>
      <c r="G56" s="1">
        <v>0.36430000000000001</v>
      </c>
      <c r="H56" s="1">
        <v>0.53790000000000004</v>
      </c>
      <c r="I56" s="1">
        <v>0.53869999999999996</v>
      </c>
      <c r="J56" s="1">
        <v>0.36070000000000002</v>
      </c>
    </row>
    <row r="57" spans="1:12" x14ac:dyDescent="0.2">
      <c r="A57" t="s">
        <v>20</v>
      </c>
      <c r="B57" s="1">
        <v>1</v>
      </c>
      <c r="C57" s="1">
        <v>1.9954000000000001</v>
      </c>
      <c r="D57" s="1">
        <v>2281</v>
      </c>
      <c r="E57" s="1">
        <v>1.4545999999999999</v>
      </c>
      <c r="F57" s="1">
        <v>0.45679999999999998</v>
      </c>
      <c r="G57" s="1">
        <v>0.2883</v>
      </c>
      <c r="H57" s="1">
        <v>0.45479999999999998</v>
      </c>
      <c r="I57" s="1">
        <v>0.45490000000000003</v>
      </c>
      <c r="J57" s="1">
        <v>0.26550000000000001</v>
      </c>
      <c r="K57" s="1"/>
      <c r="L57" s="1"/>
    </row>
    <row r="58" spans="1:12" x14ac:dyDescent="0.2">
      <c r="B58" s="1">
        <v>2</v>
      </c>
      <c r="C58" s="1">
        <v>1.3847</v>
      </c>
      <c r="D58" s="1">
        <v>4562</v>
      </c>
      <c r="E58" s="1">
        <v>1.2811999999999999</v>
      </c>
      <c r="F58" s="1">
        <v>0.51019999999999999</v>
      </c>
      <c r="G58" s="1">
        <v>0.32569999999999999</v>
      </c>
      <c r="H58" s="1">
        <v>0.50770000000000004</v>
      </c>
      <c r="I58" s="1">
        <v>0.50839999999999996</v>
      </c>
      <c r="J58" s="1">
        <v>0.32150000000000001</v>
      </c>
      <c r="K58" s="1"/>
      <c r="L58" s="1"/>
    </row>
    <row r="59" spans="1:12" x14ac:dyDescent="0.2">
      <c r="B59" s="1">
        <v>3</v>
      </c>
      <c r="C59" s="1">
        <v>1.2305999999999999</v>
      </c>
      <c r="D59" s="1">
        <v>6843</v>
      </c>
      <c r="E59" s="1">
        <v>1.2396</v>
      </c>
      <c r="F59" s="1">
        <v>0.51419999999999999</v>
      </c>
      <c r="G59" s="1">
        <v>0.32579999999999998</v>
      </c>
      <c r="H59" s="1">
        <v>0.5121</v>
      </c>
      <c r="I59" s="1">
        <v>0.51170000000000004</v>
      </c>
      <c r="J59" s="1">
        <v>0.31569999999999998</v>
      </c>
      <c r="K59" s="1"/>
      <c r="L59" s="1"/>
    </row>
    <row r="60" spans="1:12" x14ac:dyDescent="0.2">
      <c r="B60" s="1">
        <v>4</v>
      </c>
      <c r="C60" s="1">
        <v>1.0275000000000001</v>
      </c>
      <c r="D60" s="1">
        <v>9124</v>
      </c>
      <c r="E60" s="1">
        <v>1.2491000000000001</v>
      </c>
      <c r="F60" s="1">
        <v>0.53569999999999995</v>
      </c>
      <c r="G60" s="1">
        <v>0.35399999999999998</v>
      </c>
      <c r="H60" s="1">
        <v>0.53290000000000004</v>
      </c>
      <c r="I60" s="1">
        <v>0.5333</v>
      </c>
      <c r="J60" s="1">
        <v>0.34200000000000003</v>
      </c>
      <c r="K60" s="1"/>
      <c r="L60" s="1"/>
    </row>
    <row r="61" spans="1:12" x14ac:dyDescent="0.2">
      <c r="B61" s="1">
        <v>5</v>
      </c>
      <c r="C61" s="1">
        <v>0.98460000000000003</v>
      </c>
      <c r="D61" s="1">
        <v>11405</v>
      </c>
      <c r="E61" s="1">
        <v>1.244</v>
      </c>
      <c r="F61" s="1">
        <v>0.53710000000000002</v>
      </c>
      <c r="G61" s="1">
        <v>0.3528</v>
      </c>
      <c r="H61" s="1">
        <v>0.53439999999999999</v>
      </c>
      <c r="I61" s="1">
        <v>0.53539999999999999</v>
      </c>
      <c r="J61" s="1">
        <v>0.33760000000000001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6907B-5FEA-A447-97E1-BF97464DC693}">
  <dimension ref="A1:V61"/>
  <sheetViews>
    <sheetView workbookViewId="0">
      <selection activeCell="G20" sqref="G20"/>
    </sheetView>
  </sheetViews>
  <sheetFormatPr baseColWidth="10" defaultRowHeight="16" x14ac:dyDescent="0.2"/>
  <cols>
    <col min="1" max="1" width="40.33203125" bestFit="1" customWidth="1"/>
    <col min="2" max="2" width="42.33203125" customWidth="1"/>
    <col min="3" max="3" width="13" bestFit="1" customWidth="1"/>
    <col min="4" max="4" width="20.33203125" bestFit="1" customWidth="1"/>
    <col min="5" max="5" width="22.33203125" bestFit="1" customWidth="1"/>
    <col min="6" max="7" width="15.5" bestFit="1" customWidth="1"/>
    <col min="8" max="8" width="15" bestFit="1" customWidth="1"/>
    <col min="9" max="9" width="13" bestFit="1" customWidth="1"/>
    <col min="10" max="10" width="20" bestFit="1" customWidth="1"/>
  </cols>
  <sheetData>
    <row r="1" spans="1:22" x14ac:dyDescent="0.2">
      <c r="O1" s="22" t="s">
        <v>150</v>
      </c>
      <c r="P1" s="22"/>
      <c r="Q1" s="22"/>
      <c r="R1" s="22"/>
      <c r="S1" s="22" t="s">
        <v>151</v>
      </c>
      <c r="T1" s="22"/>
      <c r="U1" s="22"/>
      <c r="V1" s="22"/>
    </row>
    <row r="2" spans="1:22" x14ac:dyDescent="0.2">
      <c r="A2" t="s">
        <v>1</v>
      </c>
      <c r="B2" t="s">
        <v>1</v>
      </c>
      <c r="C2" s="2" t="s">
        <v>24</v>
      </c>
      <c r="D2" s="2" t="s">
        <v>22</v>
      </c>
      <c r="E2" s="2" t="s">
        <v>23</v>
      </c>
      <c r="F2" s="2" t="s">
        <v>2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10</v>
      </c>
      <c r="L2" s="2" t="s">
        <v>4</v>
      </c>
      <c r="M2" s="2" t="s">
        <v>9</v>
      </c>
      <c r="N2" s="2" t="s">
        <v>3</v>
      </c>
      <c r="O2" s="8" t="s">
        <v>36</v>
      </c>
      <c r="P2" s="8" t="s">
        <v>37</v>
      </c>
      <c r="Q2" s="8" t="s">
        <v>38</v>
      </c>
      <c r="R2" s="8" t="s">
        <v>27</v>
      </c>
      <c r="S2" s="8" t="s">
        <v>36</v>
      </c>
      <c r="T2" s="8" t="s">
        <v>37</v>
      </c>
      <c r="U2" s="8" t="s">
        <v>38</v>
      </c>
      <c r="V2" s="8" t="s">
        <v>27</v>
      </c>
    </row>
    <row r="3" spans="1:22" x14ac:dyDescent="0.2">
      <c r="A3" t="s">
        <v>21</v>
      </c>
      <c r="B3" t="s">
        <v>152</v>
      </c>
      <c r="C3" t="s">
        <v>25</v>
      </c>
      <c r="D3">
        <v>1</v>
      </c>
      <c r="E3">
        <v>42</v>
      </c>
      <c r="F3" s="7">
        <v>0.99980000000000002</v>
      </c>
      <c r="G3" s="7">
        <v>1.1747000000000001</v>
      </c>
      <c r="H3" s="7">
        <v>0.44140000000000001</v>
      </c>
      <c r="I3" s="7">
        <v>0.24149999999999999</v>
      </c>
      <c r="J3" s="7">
        <v>0.40670000000000001</v>
      </c>
      <c r="K3" s="7">
        <v>0.19789999999999999</v>
      </c>
      <c r="L3" s="5">
        <v>23475</v>
      </c>
      <c r="M3" s="3">
        <v>0.4078</v>
      </c>
      <c r="N3" s="1">
        <v>5</v>
      </c>
      <c r="O3" s="13">
        <f>AVERAGE(H3:H5)</f>
        <v>0.44173333333333337</v>
      </c>
      <c r="P3" s="13">
        <f>AVERAGE(I3:I5)</f>
        <v>0.24296666666666666</v>
      </c>
      <c r="Q3" s="13">
        <f>AVERAGE(J3:J5)</f>
        <v>0.40673333333333334</v>
      </c>
      <c r="R3" s="13">
        <f>AVERAGE(K3:K5)</f>
        <v>0.19899999999999998</v>
      </c>
      <c r="S3" s="13">
        <f>STDEV(H3:H5)</f>
        <v>3.5118845842842497E-3</v>
      </c>
      <c r="T3" s="13">
        <f>STDEV(I3:I5)</f>
        <v>2.8936712552280882E-3</v>
      </c>
      <c r="U3" s="13">
        <f>STDEV(J3:J5)</f>
        <v>2.7501515109777486E-3</v>
      </c>
      <c r="V3" s="13">
        <f>STDEV(K3:K5)</f>
        <v>1.9052558883257637E-3</v>
      </c>
    </row>
    <row r="4" spans="1:22" x14ac:dyDescent="0.2">
      <c r="A4" t="s">
        <v>0</v>
      </c>
      <c r="B4" t="s">
        <v>153</v>
      </c>
      <c r="C4" t="s">
        <v>25</v>
      </c>
      <c r="D4">
        <v>1</v>
      </c>
      <c r="E4" s="1">
        <v>12</v>
      </c>
      <c r="F4" s="7">
        <v>0.999</v>
      </c>
      <c r="G4" s="7">
        <v>1.1889000000000001</v>
      </c>
      <c r="H4" s="7">
        <v>0.43840000000000001</v>
      </c>
      <c r="I4" s="7">
        <v>0.24110000000000001</v>
      </c>
      <c r="J4" s="7">
        <v>0.40400000000000003</v>
      </c>
      <c r="K4" s="7">
        <v>0.19789999999999999</v>
      </c>
      <c r="L4" s="5">
        <v>23475</v>
      </c>
      <c r="M4" s="3">
        <v>0.40510000000000002</v>
      </c>
      <c r="N4" s="1">
        <v>5</v>
      </c>
      <c r="O4" s="13"/>
      <c r="P4" s="13"/>
      <c r="Q4" s="13"/>
      <c r="R4" s="13"/>
      <c r="S4" s="13"/>
      <c r="T4" s="13"/>
      <c r="U4" s="13"/>
      <c r="V4" s="13"/>
    </row>
    <row r="5" spans="1:22" x14ac:dyDescent="0.2">
      <c r="A5" t="s">
        <v>11</v>
      </c>
      <c r="B5" t="s">
        <v>154</v>
      </c>
      <c r="C5" t="s">
        <v>25</v>
      </c>
      <c r="D5">
        <v>1</v>
      </c>
      <c r="E5" s="2">
        <v>72</v>
      </c>
      <c r="F5" s="8">
        <v>0.88980000000000004</v>
      </c>
      <c r="G5" s="8">
        <v>1.1796</v>
      </c>
      <c r="H5" s="8">
        <v>0.44540000000000002</v>
      </c>
      <c r="I5" s="8">
        <v>0.24629999999999999</v>
      </c>
      <c r="J5" s="8">
        <v>0.40949999999999998</v>
      </c>
      <c r="K5" s="8">
        <v>0.20119999999999999</v>
      </c>
      <c r="L5" s="6">
        <v>46950</v>
      </c>
      <c r="M5" s="4">
        <v>0.41070000000000001</v>
      </c>
      <c r="N5" s="2">
        <v>5</v>
      </c>
      <c r="O5" s="13"/>
      <c r="P5" s="13"/>
      <c r="Q5" s="13"/>
      <c r="R5" s="13"/>
      <c r="S5" s="13"/>
      <c r="T5" s="13"/>
      <c r="U5" s="13"/>
      <c r="V5" s="13"/>
    </row>
    <row r="6" spans="1:22" x14ac:dyDescent="0.2">
      <c r="A6" t="s">
        <v>12</v>
      </c>
      <c r="B6" t="s">
        <v>155</v>
      </c>
      <c r="C6" t="s">
        <v>25</v>
      </c>
      <c r="D6" s="1">
        <v>2</v>
      </c>
      <c r="E6">
        <v>42</v>
      </c>
      <c r="F6" s="7">
        <v>1.1520999999999999</v>
      </c>
      <c r="G6" s="7">
        <v>1.4294</v>
      </c>
      <c r="H6" s="7">
        <v>0.40810000000000002</v>
      </c>
      <c r="I6" s="7">
        <v>0.2248</v>
      </c>
      <c r="J6" s="7">
        <v>0.38719999999999999</v>
      </c>
      <c r="K6" s="7">
        <v>0.17710000000000001</v>
      </c>
      <c r="L6" s="5">
        <v>60000</v>
      </c>
      <c r="M6" s="3">
        <v>0.3876</v>
      </c>
      <c r="N6" s="1">
        <v>5</v>
      </c>
      <c r="O6" s="13">
        <f t="shared" ref="O6:R6" si="0">AVERAGE(H6:H8)</f>
        <v>0.40763333333333335</v>
      </c>
      <c r="P6" s="13">
        <f t="shared" si="0"/>
        <v>0.22543333333333335</v>
      </c>
      <c r="Q6" s="13">
        <f t="shared" si="0"/>
        <v>0.38703333333333334</v>
      </c>
      <c r="R6" s="13">
        <f t="shared" si="0"/>
        <v>0.17790000000000003</v>
      </c>
      <c r="S6" s="13">
        <f t="shared" ref="S6:V6" si="1">STDEV(H6:H8)</f>
        <v>3.5232560697930218E-3</v>
      </c>
      <c r="T6" s="13">
        <f t="shared" si="1"/>
        <v>2.1221058723195981E-3</v>
      </c>
      <c r="U6" s="13">
        <f t="shared" si="1"/>
        <v>3.4530180036213814E-3</v>
      </c>
      <c r="V6" s="13">
        <f t="shared" si="1"/>
        <v>2.884441020371201E-3</v>
      </c>
    </row>
    <row r="7" spans="1:22" x14ac:dyDescent="0.2">
      <c r="A7" t="s">
        <v>13</v>
      </c>
      <c r="B7" t="s">
        <v>156</v>
      </c>
      <c r="C7" t="s">
        <v>25</v>
      </c>
      <c r="D7" s="1">
        <v>2</v>
      </c>
      <c r="E7" s="1">
        <v>12</v>
      </c>
      <c r="F7" s="7">
        <v>1.1253</v>
      </c>
      <c r="G7" s="7">
        <v>1.4268000000000001</v>
      </c>
      <c r="H7" s="7">
        <v>0.40389999999999998</v>
      </c>
      <c r="I7" s="7">
        <v>0.22370000000000001</v>
      </c>
      <c r="J7" s="7">
        <v>0.38350000000000001</v>
      </c>
      <c r="K7" s="7">
        <v>0.17549999999999999</v>
      </c>
      <c r="L7" s="5">
        <v>60000</v>
      </c>
      <c r="M7" s="3">
        <v>0.38340000000000002</v>
      </c>
      <c r="N7" s="1">
        <v>5</v>
      </c>
      <c r="O7" s="13"/>
      <c r="P7" s="13"/>
      <c r="Q7" s="13"/>
      <c r="R7" s="13"/>
      <c r="S7" s="13"/>
      <c r="T7" s="13"/>
      <c r="U7" s="13"/>
      <c r="V7" s="13"/>
    </row>
    <row r="8" spans="1:22" x14ac:dyDescent="0.2">
      <c r="A8" t="s">
        <v>14</v>
      </c>
      <c r="B8" t="s">
        <v>157</v>
      </c>
      <c r="C8" t="s">
        <v>25</v>
      </c>
      <c r="D8" s="1">
        <v>2</v>
      </c>
      <c r="E8" s="2">
        <v>72</v>
      </c>
      <c r="F8" s="8">
        <v>1.1207</v>
      </c>
      <c r="G8" s="8">
        <v>1.4085000000000001</v>
      </c>
      <c r="H8" s="8">
        <v>0.41089999999999999</v>
      </c>
      <c r="I8" s="8">
        <v>0.2278</v>
      </c>
      <c r="J8" s="8">
        <v>0.39040000000000002</v>
      </c>
      <c r="K8" s="8">
        <v>0.18110000000000001</v>
      </c>
      <c r="L8" s="6">
        <v>60000</v>
      </c>
      <c r="M8" s="4">
        <v>0.39050000000000001</v>
      </c>
      <c r="N8" s="2">
        <v>5</v>
      </c>
      <c r="O8" s="13"/>
      <c r="P8" s="13"/>
      <c r="Q8" s="13"/>
      <c r="R8" s="13"/>
      <c r="S8" s="13"/>
      <c r="T8" s="13"/>
      <c r="U8" s="13"/>
      <c r="V8" s="13"/>
    </row>
    <row r="9" spans="1:22" x14ac:dyDescent="0.2">
      <c r="A9" t="s">
        <v>15</v>
      </c>
      <c r="B9" t="s">
        <v>158</v>
      </c>
      <c r="C9" t="s">
        <v>26</v>
      </c>
      <c r="D9" s="1">
        <v>1</v>
      </c>
      <c r="E9">
        <v>42</v>
      </c>
      <c r="F9" s="7">
        <v>0.66020000000000001</v>
      </c>
      <c r="G9" s="7">
        <v>0.94279999999999997</v>
      </c>
      <c r="H9" s="7">
        <v>0.50700000000000001</v>
      </c>
      <c r="I9" s="7">
        <v>0.33560000000000001</v>
      </c>
      <c r="J9" s="7">
        <v>0.50580000000000003</v>
      </c>
      <c r="K9" s="7">
        <v>0.33650000000000002</v>
      </c>
      <c r="L9" s="5">
        <v>11405</v>
      </c>
      <c r="M9" s="3">
        <v>0.50529999999999997</v>
      </c>
      <c r="N9" s="1">
        <v>5</v>
      </c>
      <c r="O9" s="13">
        <f t="shared" ref="O9:R9" si="2">AVERAGE(H9:H11)</f>
        <v>0.51623333333333343</v>
      </c>
      <c r="P9" s="13">
        <f t="shared" si="2"/>
        <v>0.34339999999999998</v>
      </c>
      <c r="Q9" s="13">
        <f t="shared" si="2"/>
        <v>0.51440000000000008</v>
      </c>
      <c r="R9" s="13">
        <f t="shared" si="2"/>
        <v>0.33629999999999999</v>
      </c>
      <c r="S9" s="13">
        <f t="shared" ref="S9:V9" si="3">STDEV(H9:H11)</f>
        <v>8.5943780073565249E-3</v>
      </c>
      <c r="T9" s="13">
        <f t="shared" si="3"/>
        <v>7.2027772421476366E-3</v>
      </c>
      <c r="U9" s="13">
        <f t="shared" si="3"/>
        <v>8.453993139339552E-3</v>
      </c>
      <c r="V9" s="13">
        <f t="shared" si="3"/>
        <v>7.0021425292548919E-3</v>
      </c>
    </row>
    <row r="10" spans="1:22" x14ac:dyDescent="0.2">
      <c r="A10" t="s">
        <v>16</v>
      </c>
      <c r="B10" t="s">
        <v>159</v>
      </c>
      <c r="C10" t="s">
        <v>26</v>
      </c>
      <c r="D10" s="1">
        <v>1</v>
      </c>
      <c r="E10" s="1">
        <v>12</v>
      </c>
      <c r="F10" s="8">
        <v>0.66180000000000005</v>
      </c>
      <c r="G10" s="8">
        <v>0.86970000000000003</v>
      </c>
      <c r="H10" s="8">
        <v>0.52400000000000002</v>
      </c>
      <c r="I10" s="8">
        <v>0.3498</v>
      </c>
      <c r="J10" s="8">
        <v>0.52270000000000005</v>
      </c>
      <c r="K10" s="8">
        <v>0.34320000000000001</v>
      </c>
      <c r="L10" s="6">
        <v>11405</v>
      </c>
      <c r="M10" s="4">
        <v>0.52229999999999999</v>
      </c>
      <c r="N10" s="2">
        <v>5</v>
      </c>
      <c r="O10" s="13"/>
      <c r="P10" s="13"/>
      <c r="Q10" s="13"/>
      <c r="R10" s="13"/>
      <c r="S10" s="13"/>
      <c r="T10" s="13"/>
      <c r="U10" s="13"/>
      <c r="V10" s="13"/>
    </row>
    <row r="11" spans="1:22" x14ac:dyDescent="0.2">
      <c r="A11" t="s">
        <v>17</v>
      </c>
      <c r="B11" t="s">
        <v>160</v>
      </c>
      <c r="C11" t="s">
        <v>26</v>
      </c>
      <c r="D11" s="1">
        <v>1</v>
      </c>
      <c r="E11" s="2">
        <v>72</v>
      </c>
      <c r="F11" s="7">
        <v>0.71460000000000001</v>
      </c>
      <c r="G11" s="7">
        <v>0.9052</v>
      </c>
      <c r="H11" s="7">
        <v>0.51770000000000005</v>
      </c>
      <c r="I11" s="7">
        <v>0.3448</v>
      </c>
      <c r="J11" s="7">
        <v>0.51470000000000005</v>
      </c>
      <c r="K11" s="7">
        <v>0.32919999999999999</v>
      </c>
      <c r="L11" s="5">
        <v>11405</v>
      </c>
      <c r="M11" s="3">
        <v>0.51500000000000001</v>
      </c>
      <c r="N11" s="1">
        <v>5</v>
      </c>
      <c r="O11" s="13"/>
      <c r="P11" s="13"/>
      <c r="Q11" s="13"/>
      <c r="R11" s="13"/>
      <c r="S11" s="13"/>
      <c r="T11" s="13"/>
      <c r="U11" s="13"/>
      <c r="V11" s="13"/>
    </row>
    <row r="12" spans="1:22" x14ac:dyDescent="0.2">
      <c r="A12" t="s">
        <v>18</v>
      </c>
      <c r="B12" t="s">
        <v>161</v>
      </c>
      <c r="C12" t="s">
        <v>26</v>
      </c>
      <c r="D12" s="1">
        <v>2</v>
      </c>
      <c r="E12">
        <v>42</v>
      </c>
      <c r="F12" s="7">
        <v>0.92600000000000005</v>
      </c>
      <c r="G12" s="7">
        <v>1.3146</v>
      </c>
      <c r="H12" s="7">
        <v>0.52049999999999996</v>
      </c>
      <c r="I12" s="7">
        <v>0.33879999999999999</v>
      </c>
      <c r="J12" s="7">
        <v>0.51949999999999996</v>
      </c>
      <c r="K12" s="7">
        <v>0.3306</v>
      </c>
      <c r="L12" s="5">
        <v>11405</v>
      </c>
      <c r="M12" s="3">
        <v>0.51890000000000003</v>
      </c>
      <c r="N12" s="1">
        <v>5</v>
      </c>
      <c r="O12" s="13">
        <f>AVERAGE(G12:G14)</f>
        <v>1.2392333333333332</v>
      </c>
      <c r="P12" s="13">
        <f>AVERAGE(H12:H14)</f>
        <v>0.53239999999999998</v>
      </c>
      <c r="Q12" s="13">
        <f>AVERAGE(I12:I14)</f>
        <v>0.35196666666666671</v>
      </c>
      <c r="R12" s="13">
        <f>AVERAGE(J12:J14)</f>
        <v>0.53059999999999996</v>
      </c>
      <c r="S12" s="13">
        <f>STDEV(G12:G14)</f>
        <v>7.7859510230499987E-2</v>
      </c>
      <c r="T12" s="13">
        <f>STDEV(H12:H14)</f>
        <v>1.0381233067415466E-2</v>
      </c>
      <c r="U12" s="13">
        <f>STDEV(I12:I14)</f>
        <v>1.2770408502993694E-2</v>
      </c>
      <c r="V12" s="13">
        <f>STDEV(J12:J14)</f>
        <v>9.7708750887523215E-3</v>
      </c>
    </row>
    <row r="13" spans="1:22" x14ac:dyDescent="0.2">
      <c r="A13" t="s">
        <v>19</v>
      </c>
      <c r="B13" t="s">
        <v>162</v>
      </c>
      <c r="C13" t="s">
        <v>26</v>
      </c>
      <c r="D13" s="1">
        <v>2</v>
      </c>
      <c r="E13" s="1">
        <v>12</v>
      </c>
      <c r="F13" s="8">
        <v>0.93940000000000001</v>
      </c>
      <c r="G13" s="8">
        <v>1.1591</v>
      </c>
      <c r="H13" s="8">
        <v>0.53959999999999997</v>
      </c>
      <c r="I13" s="8">
        <v>0.36430000000000001</v>
      </c>
      <c r="J13" s="8">
        <v>0.53790000000000004</v>
      </c>
      <c r="K13" s="8">
        <v>0.36070000000000002</v>
      </c>
      <c r="L13" s="6">
        <v>11405</v>
      </c>
      <c r="M13" s="4">
        <v>0.53869999999999996</v>
      </c>
      <c r="N13" s="2">
        <v>5</v>
      </c>
      <c r="O13" s="13"/>
      <c r="P13" s="13"/>
      <c r="Q13" s="13"/>
      <c r="R13" s="13"/>
      <c r="S13" s="13"/>
      <c r="T13" s="13"/>
    </row>
    <row r="14" spans="1:22" x14ac:dyDescent="0.2">
      <c r="A14" t="s">
        <v>20</v>
      </c>
      <c r="B14" t="s">
        <v>163</v>
      </c>
      <c r="C14" t="s">
        <v>26</v>
      </c>
      <c r="D14" s="1">
        <v>2</v>
      </c>
      <c r="E14" s="2">
        <v>72</v>
      </c>
      <c r="F14" s="7">
        <v>0.98460000000000003</v>
      </c>
      <c r="G14" s="7">
        <v>1.244</v>
      </c>
      <c r="H14" s="7">
        <v>0.53710000000000002</v>
      </c>
      <c r="I14" s="7">
        <v>0.3528</v>
      </c>
      <c r="J14" s="7">
        <v>0.53439999999999999</v>
      </c>
      <c r="K14" s="7">
        <v>0.33760000000000001</v>
      </c>
      <c r="L14" s="5">
        <v>11405</v>
      </c>
      <c r="M14" s="3">
        <v>0.53539999999999999</v>
      </c>
      <c r="N14" s="1">
        <v>5</v>
      </c>
      <c r="O14" s="13"/>
      <c r="P14" s="13"/>
      <c r="Q14" s="13"/>
      <c r="R14" s="13"/>
      <c r="S14" s="13"/>
    </row>
    <row r="21" spans="3:13" x14ac:dyDescent="0.2">
      <c r="E21" s="1"/>
      <c r="F21" s="1"/>
      <c r="G21" s="1"/>
      <c r="H21" s="1"/>
      <c r="I21" s="1"/>
      <c r="J21" s="1"/>
      <c r="K21" s="1"/>
      <c r="L21" s="1"/>
      <c r="M21" s="1"/>
    </row>
    <row r="22" spans="3:13" x14ac:dyDescent="0.2">
      <c r="E22" s="1"/>
      <c r="F22" s="1"/>
      <c r="G22" s="1"/>
      <c r="H22" s="1"/>
      <c r="I22" s="1"/>
      <c r="J22" s="1"/>
      <c r="K22" s="1"/>
      <c r="L22" s="1"/>
      <c r="M22" s="1"/>
    </row>
    <row r="23" spans="3:13" x14ac:dyDescent="0.2">
      <c r="E23" s="1"/>
      <c r="F23" s="1"/>
      <c r="G23" s="1"/>
      <c r="H23" s="1"/>
      <c r="I23" s="1"/>
      <c r="J23" s="1"/>
      <c r="K23" s="1"/>
      <c r="L23" s="1"/>
      <c r="M23" s="1"/>
    </row>
    <row r="26" spans="3:13" x14ac:dyDescent="0.2">
      <c r="E26" s="1"/>
      <c r="F26" s="1"/>
      <c r="G26" s="1"/>
      <c r="H26" s="1"/>
      <c r="I26" s="1"/>
      <c r="J26" s="1"/>
      <c r="K26" s="1"/>
      <c r="L26" s="1"/>
      <c r="M26" s="1"/>
    </row>
    <row r="27" spans="3:13" x14ac:dyDescent="0.2">
      <c r="C27" s="18" t="s">
        <v>164</v>
      </c>
      <c r="D27" t="s">
        <v>166</v>
      </c>
      <c r="E27" t="s">
        <v>167</v>
      </c>
      <c r="F27" t="s">
        <v>168</v>
      </c>
      <c r="G27" t="s">
        <v>169</v>
      </c>
      <c r="H27" t="s">
        <v>170</v>
      </c>
      <c r="I27" t="s">
        <v>171</v>
      </c>
      <c r="K27" s="1"/>
      <c r="L27" s="1"/>
      <c r="M27" s="1"/>
    </row>
    <row r="28" spans="3:13" x14ac:dyDescent="0.2">
      <c r="C28" s="19" t="s">
        <v>25</v>
      </c>
      <c r="D28" s="13">
        <v>1.0477833333333335</v>
      </c>
      <c r="E28" s="13">
        <v>1.3013166666666667</v>
      </c>
      <c r="F28" s="13">
        <v>0.42468333333333336</v>
      </c>
      <c r="G28" s="13">
        <v>0.23419999999999999</v>
      </c>
      <c r="H28" s="13">
        <v>0.39688333333333331</v>
      </c>
      <c r="I28" s="13">
        <v>0.18845000000000001</v>
      </c>
      <c r="K28" s="1"/>
      <c r="L28" s="1"/>
      <c r="M28" s="1"/>
    </row>
    <row r="29" spans="3:13" x14ac:dyDescent="0.2">
      <c r="C29" s="20">
        <v>1</v>
      </c>
      <c r="D29" s="13">
        <v>0.96286666666666676</v>
      </c>
      <c r="E29" s="13">
        <v>1.1810666666666665</v>
      </c>
      <c r="F29" s="13">
        <v>0.44173333333333337</v>
      </c>
      <c r="G29" s="13">
        <v>0.24296666666666666</v>
      </c>
      <c r="H29" s="13">
        <v>0.40673333333333334</v>
      </c>
      <c r="I29" s="13">
        <v>0.19899999999999998</v>
      </c>
    </row>
    <row r="30" spans="3:13" x14ac:dyDescent="0.2">
      <c r="C30" s="20">
        <v>2</v>
      </c>
      <c r="D30" s="13">
        <v>1.1327</v>
      </c>
      <c r="E30" s="13">
        <v>1.4215666666666669</v>
      </c>
      <c r="F30" s="13">
        <v>0.40763333333333335</v>
      </c>
      <c r="G30" s="13">
        <v>0.22543333333333335</v>
      </c>
      <c r="H30" s="13">
        <v>0.38703333333333334</v>
      </c>
      <c r="I30" s="13">
        <v>0.17790000000000003</v>
      </c>
    </row>
    <row r="31" spans="3:13" x14ac:dyDescent="0.2">
      <c r="C31" s="19" t="s">
        <v>26</v>
      </c>
      <c r="D31" s="13">
        <v>0.81443333333333345</v>
      </c>
      <c r="E31" s="13">
        <v>1.0725666666666667</v>
      </c>
      <c r="F31" s="13">
        <v>0.52431666666666676</v>
      </c>
      <c r="G31" s="13">
        <v>0.34768333333333334</v>
      </c>
      <c r="H31" s="13">
        <v>0.52249999999999996</v>
      </c>
      <c r="I31" s="13">
        <v>0.33963333333333329</v>
      </c>
      <c r="K31" s="1"/>
      <c r="L31" s="1"/>
      <c r="M31" s="1"/>
    </row>
    <row r="32" spans="3:13" x14ac:dyDescent="0.2">
      <c r="C32" s="20">
        <v>1</v>
      </c>
      <c r="D32" s="13">
        <v>0.67886666666666662</v>
      </c>
      <c r="E32" s="13">
        <v>0.90589999999999993</v>
      </c>
      <c r="F32" s="13">
        <v>0.51623333333333343</v>
      </c>
      <c r="G32" s="13">
        <v>0.34339999999999998</v>
      </c>
      <c r="H32" s="13">
        <v>0.51440000000000008</v>
      </c>
      <c r="I32" s="13">
        <v>0.33629999999999999</v>
      </c>
    </row>
    <row r="33" spans="3:13" x14ac:dyDescent="0.2">
      <c r="C33" s="20">
        <v>2</v>
      </c>
      <c r="D33" s="13">
        <v>0.95000000000000007</v>
      </c>
      <c r="E33" s="13">
        <v>1.2392333333333332</v>
      </c>
      <c r="F33" s="13">
        <v>0.53239999999999998</v>
      </c>
      <c r="G33" s="13">
        <v>0.35196666666666671</v>
      </c>
      <c r="H33" s="13">
        <v>0.53059999999999996</v>
      </c>
      <c r="I33" s="13">
        <v>0.3429666666666667</v>
      </c>
    </row>
    <row r="34" spans="3:13" x14ac:dyDescent="0.2">
      <c r="C34" s="19" t="s">
        <v>165</v>
      </c>
      <c r="D34" s="13">
        <v>0.93110833333333343</v>
      </c>
      <c r="E34" s="13">
        <v>1.1869416666666668</v>
      </c>
      <c r="F34" s="13">
        <v>0.47449999999999998</v>
      </c>
      <c r="G34" s="13">
        <v>0.29094166666666671</v>
      </c>
      <c r="H34" s="13">
        <v>0.45969166666666661</v>
      </c>
      <c r="I34" s="13">
        <v>0.26404166666666667</v>
      </c>
      <c r="K34" s="1"/>
      <c r="L34" s="1"/>
      <c r="M34" s="1"/>
    </row>
    <row r="35" spans="3:13" x14ac:dyDescent="0.2">
      <c r="F35" s="1"/>
      <c r="G35" s="1"/>
      <c r="H35" s="1"/>
      <c r="I35" s="1"/>
      <c r="J35" s="1"/>
      <c r="K35" s="1"/>
      <c r="L35" s="1"/>
      <c r="M35" s="1"/>
    </row>
    <row r="36" spans="3:13" x14ac:dyDescent="0.2">
      <c r="F36" s="1"/>
      <c r="G36" s="1"/>
      <c r="H36" s="1"/>
      <c r="I36" s="1"/>
      <c r="J36" s="1"/>
      <c r="K36" s="1"/>
      <c r="L36" s="1"/>
      <c r="M36" s="1"/>
    </row>
    <row r="38" spans="3:13" x14ac:dyDescent="0.2">
      <c r="C38" s="18" t="s">
        <v>164</v>
      </c>
      <c r="D38" t="s">
        <v>172</v>
      </c>
      <c r="E38" t="s">
        <v>173</v>
      </c>
      <c r="F38" t="s">
        <v>174</v>
      </c>
      <c r="G38" t="s">
        <v>175</v>
      </c>
      <c r="H38" t="s">
        <v>176</v>
      </c>
      <c r="I38" t="s">
        <v>177</v>
      </c>
    </row>
    <row r="39" spans="3:13" x14ac:dyDescent="0.2">
      <c r="C39" s="19" t="s">
        <v>25</v>
      </c>
      <c r="D39" s="13">
        <v>0.10183181068146738</v>
      </c>
      <c r="E39" s="13">
        <v>0.13200296082537993</v>
      </c>
      <c r="F39" s="13">
        <v>1.894047693873115E-2</v>
      </c>
      <c r="G39" s="13">
        <v>9.8679278473240498E-3</v>
      </c>
      <c r="H39" s="13">
        <v>1.1145477408647849E-2</v>
      </c>
      <c r="I39" s="13">
        <v>1.1761930113718662E-2</v>
      </c>
      <c r="J39" s="1"/>
      <c r="K39" s="1"/>
      <c r="L39" s="1"/>
      <c r="M39" s="1"/>
    </row>
    <row r="40" spans="3:13" x14ac:dyDescent="0.2">
      <c r="C40" s="20">
        <v>1</v>
      </c>
      <c r="D40" s="13">
        <v>6.3278853761215836E-2</v>
      </c>
      <c r="E40" s="13">
        <v>7.2127202451013374E-3</v>
      </c>
      <c r="F40" s="13">
        <v>3.5118845842767817E-3</v>
      </c>
      <c r="G40" s="13">
        <v>2.8936712552266953E-3</v>
      </c>
      <c r="H40" s="13">
        <v>2.7501515109806464E-3</v>
      </c>
      <c r="I40" s="13">
        <v>1.9052558883251153E-3</v>
      </c>
      <c r="J40" s="1"/>
      <c r="K40" s="1"/>
      <c r="L40" s="1"/>
      <c r="M40" s="1"/>
    </row>
    <row r="41" spans="3:13" x14ac:dyDescent="0.2">
      <c r="C41" s="20">
        <v>2</v>
      </c>
      <c r="D41" s="13">
        <v>1.6957594168961213E-2</v>
      </c>
      <c r="E41" s="13">
        <v>1.1390493111930331E-2</v>
      </c>
      <c r="F41" s="13">
        <v>3.5232560697874781E-3</v>
      </c>
      <c r="G41" s="13">
        <v>2.1221058723202477E-3</v>
      </c>
      <c r="H41" s="13">
        <v>3.453018003624935E-3</v>
      </c>
      <c r="I41" s="13">
        <v>2.8844410203686405E-3</v>
      </c>
      <c r="J41" s="1"/>
      <c r="K41" s="1"/>
      <c r="L41" s="1"/>
      <c r="M41" s="1"/>
    </row>
    <row r="42" spans="3:13" x14ac:dyDescent="0.2">
      <c r="C42" s="19" t="s">
        <v>26</v>
      </c>
      <c r="D42" s="13">
        <v>0.15104438641229423</v>
      </c>
      <c r="E42" s="13">
        <v>0.19050638484488319</v>
      </c>
      <c r="F42" s="13">
        <v>1.2290714652392716E-2</v>
      </c>
      <c r="G42" s="13">
        <v>1.0392385032641368E-2</v>
      </c>
      <c r="H42" s="13">
        <v>1.206266968792908E-2</v>
      </c>
      <c r="I42" s="13">
        <v>1.1497246047062768E-2</v>
      </c>
    </row>
    <row r="43" spans="3:13" x14ac:dyDescent="0.2">
      <c r="C43" s="20">
        <v>1</v>
      </c>
      <c r="D43" s="13">
        <v>3.0956313303319959E-2</v>
      </c>
      <c r="E43" s="13">
        <v>3.6555027014080282E-2</v>
      </c>
      <c r="F43" s="13">
        <v>8.5943780073553157E-3</v>
      </c>
      <c r="G43" s="13">
        <v>7.2027772421479307E-3</v>
      </c>
      <c r="H43" s="13">
        <v>8.453993139340598E-3</v>
      </c>
      <c r="I43" s="13">
        <v>7.0021425292572572E-3</v>
      </c>
    </row>
    <row r="44" spans="3:13" x14ac:dyDescent="0.2">
      <c r="C44" s="20">
        <v>2</v>
      </c>
      <c r="D44" s="13">
        <v>3.0704397079246524E-2</v>
      </c>
      <c r="E44" s="13">
        <v>7.7859510230500792E-2</v>
      </c>
      <c r="F44" s="13">
        <v>1.0381233067413115E-2</v>
      </c>
      <c r="G44" s="13">
        <v>1.2770408502992913E-2</v>
      </c>
      <c r="H44" s="13">
        <v>9.7708750887544309E-3</v>
      </c>
      <c r="I44" s="13">
        <v>1.5751296242954259E-2</v>
      </c>
    </row>
    <row r="45" spans="3:13" x14ac:dyDescent="0.2">
      <c r="C45" s="19" t="s">
        <v>165</v>
      </c>
      <c r="D45" s="13">
        <v>0.17301531439485701</v>
      </c>
      <c r="E45" s="13">
        <v>0.19669242467426756</v>
      </c>
      <c r="F45" s="13">
        <v>5.4212896821864968E-2</v>
      </c>
      <c r="G45" s="13">
        <v>6.0047170220711599E-2</v>
      </c>
      <c r="H45" s="13">
        <v>6.6529070314936656E-2</v>
      </c>
      <c r="I45" s="13">
        <v>7.9727860515783511E-2</v>
      </c>
    </row>
    <row r="59" spans="5:13" x14ac:dyDescent="0.2">
      <c r="E59" s="1"/>
      <c r="F59" s="1"/>
      <c r="G59" s="1"/>
      <c r="H59" s="1"/>
      <c r="I59" s="1"/>
      <c r="J59" s="1"/>
      <c r="K59" s="1"/>
      <c r="L59" s="1"/>
      <c r="M59" s="1"/>
    </row>
    <row r="60" spans="5:13" x14ac:dyDescent="0.2">
      <c r="E60" s="1"/>
      <c r="F60" s="1"/>
      <c r="G60" s="1"/>
      <c r="H60" s="1"/>
      <c r="I60" s="1"/>
      <c r="J60" s="1"/>
      <c r="K60" s="1"/>
      <c r="L60" s="1"/>
      <c r="M60" s="1"/>
    </row>
    <row r="61" spans="5:13" x14ac:dyDescent="0.2">
      <c r="E61" s="1"/>
      <c r="F61" s="1"/>
      <c r="G61" s="1"/>
      <c r="H61" s="1"/>
      <c r="I61" s="1"/>
      <c r="J61" s="1"/>
      <c r="K61" s="1"/>
      <c r="L61" s="1"/>
      <c r="M61" s="1"/>
    </row>
  </sheetData>
  <mergeCells count="2">
    <mergeCell ref="O1:R1"/>
    <mergeCell ref="S1:V1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5CAF3-6139-E946-933A-845C89DB06DA}">
  <dimension ref="A1:P15"/>
  <sheetViews>
    <sheetView workbookViewId="0">
      <selection activeCell="M21" sqref="M21"/>
    </sheetView>
  </sheetViews>
  <sheetFormatPr baseColWidth="10" defaultRowHeight="16" x14ac:dyDescent="0.2"/>
  <sheetData>
    <row r="1" spans="1:16" x14ac:dyDescent="0.2">
      <c r="B1" s="9" t="s">
        <v>27</v>
      </c>
      <c r="C1" s="9" t="s">
        <v>28</v>
      </c>
      <c r="D1" s="9" t="s">
        <v>29</v>
      </c>
      <c r="E1" s="9" t="s">
        <v>30</v>
      </c>
      <c r="F1" s="9" t="s">
        <v>31</v>
      </c>
      <c r="G1" s="9" t="s">
        <v>32</v>
      </c>
      <c r="H1" s="9" t="s">
        <v>33</v>
      </c>
      <c r="I1" s="9" t="s">
        <v>34</v>
      </c>
      <c r="J1" s="9" t="s">
        <v>35</v>
      </c>
      <c r="K1" s="9" t="s">
        <v>36</v>
      </c>
      <c r="L1" s="9" t="s">
        <v>37</v>
      </c>
      <c r="M1" s="9" t="s">
        <v>38</v>
      </c>
      <c r="N1" s="9" t="s">
        <v>39</v>
      </c>
      <c r="O1" s="9" t="s">
        <v>40</v>
      </c>
      <c r="P1" s="9" t="s">
        <v>41</v>
      </c>
    </row>
    <row r="2" spans="1:16" x14ac:dyDescent="0.2">
      <c r="A2" s="10">
        <v>0</v>
      </c>
      <c r="B2" s="11">
        <v>6.1397E-2</v>
      </c>
      <c r="C2" s="10">
        <v>1</v>
      </c>
      <c r="D2" s="10">
        <v>2.5380549999999999</v>
      </c>
      <c r="E2" s="10">
        <v>151763</v>
      </c>
      <c r="F2" s="10">
        <v>59795</v>
      </c>
      <c r="G2" s="11">
        <v>0.19193099999999999</v>
      </c>
      <c r="H2" s="11">
        <v>7.7752000000000002E-2</v>
      </c>
      <c r="I2" s="11">
        <v>4.0784000000000001E-2</v>
      </c>
      <c r="J2" s="11">
        <v>2.3347E-2</v>
      </c>
      <c r="K2" s="11">
        <v>0.38071700000000003</v>
      </c>
      <c r="L2" s="11">
        <v>0.18948000000000001</v>
      </c>
      <c r="M2" s="11">
        <v>0.33901300000000001</v>
      </c>
      <c r="N2" s="11">
        <v>0.33902399999999999</v>
      </c>
      <c r="O2" s="11">
        <v>0.68616299999999997</v>
      </c>
      <c r="P2" s="10" t="s">
        <v>42</v>
      </c>
    </row>
    <row r="3" spans="1:16" x14ac:dyDescent="0.2">
      <c r="A3" s="10">
        <v>1</v>
      </c>
      <c r="B3" s="11">
        <v>0.14814099999999999</v>
      </c>
      <c r="C3" s="10">
        <v>1</v>
      </c>
      <c r="D3" s="10">
        <v>1.155046</v>
      </c>
      <c r="E3" s="10">
        <v>69066</v>
      </c>
      <c r="F3" s="10">
        <v>59795</v>
      </c>
      <c r="G3" s="11">
        <v>0.405366</v>
      </c>
      <c r="H3" s="11">
        <v>0.18104799999999999</v>
      </c>
      <c r="I3" s="11">
        <v>0.102727</v>
      </c>
      <c r="J3" s="11">
        <v>6.3881999999999994E-2</v>
      </c>
      <c r="K3" s="11">
        <v>0.43953399999999998</v>
      </c>
      <c r="L3" s="11">
        <v>0.22439100000000001</v>
      </c>
      <c r="M3" s="11">
        <v>0.40093600000000001</v>
      </c>
      <c r="N3" s="11">
        <v>0.40100400000000003</v>
      </c>
      <c r="O3" s="11">
        <v>0.71461699999999995</v>
      </c>
      <c r="P3" s="10" t="s">
        <v>43</v>
      </c>
    </row>
    <row r="4" spans="1:16" x14ac:dyDescent="0.2">
      <c r="A4" s="10">
        <v>2</v>
      </c>
      <c r="B4" s="11">
        <v>0.13844999999999999</v>
      </c>
      <c r="C4" s="10">
        <v>1</v>
      </c>
      <c r="D4" s="10">
        <v>1.2407729999999999</v>
      </c>
      <c r="E4" s="10">
        <v>74192</v>
      </c>
      <c r="F4" s="10">
        <v>59795</v>
      </c>
      <c r="G4" s="11">
        <v>0.380027</v>
      </c>
      <c r="H4" s="11">
        <v>0.16986999999999999</v>
      </c>
      <c r="I4" s="11">
        <v>9.5867999999999995E-2</v>
      </c>
      <c r="J4" s="11">
        <v>5.9371E-2</v>
      </c>
      <c r="K4" s="11">
        <v>0.437031</v>
      </c>
      <c r="L4" s="11">
        <v>0.22437199999999999</v>
      </c>
      <c r="M4" s="11">
        <v>0.39766499999999999</v>
      </c>
      <c r="N4" s="11">
        <v>0.39763199999999999</v>
      </c>
      <c r="O4" s="11">
        <v>0.71414699999999998</v>
      </c>
      <c r="P4" s="10" t="s">
        <v>44</v>
      </c>
    </row>
    <row r="5" spans="1:16" x14ac:dyDescent="0.2">
      <c r="A5" s="10">
        <v>3</v>
      </c>
      <c r="B5" s="11">
        <v>0.15876199999999999</v>
      </c>
      <c r="C5" s="10">
        <v>1</v>
      </c>
      <c r="D5" s="10">
        <v>1.077582</v>
      </c>
      <c r="E5" s="10">
        <v>64434</v>
      </c>
      <c r="F5" s="10">
        <v>59795</v>
      </c>
      <c r="G5" s="11">
        <v>0.430006</v>
      </c>
      <c r="H5" s="11">
        <v>0.19456100000000001</v>
      </c>
      <c r="I5" s="11">
        <v>0.110598</v>
      </c>
      <c r="J5" s="11">
        <v>6.8659999999999999E-2</v>
      </c>
      <c r="K5" s="11">
        <v>0.44346200000000002</v>
      </c>
      <c r="L5" s="11">
        <v>0.225743</v>
      </c>
      <c r="M5" s="11">
        <v>0.40608899999999998</v>
      </c>
      <c r="N5" s="11">
        <v>0.40631299999999998</v>
      </c>
      <c r="O5" s="11">
        <v>0.71598899999999999</v>
      </c>
      <c r="P5" s="10" t="s">
        <v>45</v>
      </c>
    </row>
    <row r="6" spans="1:16" x14ac:dyDescent="0.2">
      <c r="A6" s="10">
        <v>4</v>
      </c>
      <c r="B6" s="11">
        <v>0.15768499999999999</v>
      </c>
      <c r="C6" s="10">
        <v>1</v>
      </c>
      <c r="D6" s="10">
        <v>1.0797730000000001</v>
      </c>
      <c r="E6" s="10">
        <v>64565</v>
      </c>
      <c r="F6" s="10">
        <v>59795</v>
      </c>
      <c r="G6" s="11">
        <v>0.43060500000000002</v>
      </c>
      <c r="H6" s="11">
        <v>0.19295000000000001</v>
      </c>
      <c r="I6" s="11">
        <v>0.10926</v>
      </c>
      <c r="J6" s="11">
        <v>6.8104999999999999E-2</v>
      </c>
      <c r="K6" s="11">
        <v>0.44417200000000001</v>
      </c>
      <c r="L6" s="11">
        <v>0.22422500000000001</v>
      </c>
      <c r="M6" s="11">
        <v>0.40585399999999999</v>
      </c>
      <c r="N6" s="11">
        <v>0.40585300000000002</v>
      </c>
      <c r="O6" s="11">
        <v>0.71635499999999996</v>
      </c>
      <c r="P6" s="10" t="s">
        <v>46</v>
      </c>
    </row>
    <row r="7" spans="1:16" x14ac:dyDescent="0.2">
      <c r="A7" s="10">
        <v>5</v>
      </c>
      <c r="B7" s="11">
        <v>0.16433600000000001</v>
      </c>
      <c r="C7" s="10">
        <v>1</v>
      </c>
      <c r="D7" s="10">
        <v>1.045606</v>
      </c>
      <c r="E7" s="10">
        <v>62522</v>
      </c>
      <c r="F7" s="10">
        <v>59795</v>
      </c>
      <c r="G7" s="11">
        <v>0.44184400000000001</v>
      </c>
      <c r="H7" s="11">
        <v>0.20116999999999999</v>
      </c>
      <c r="I7" s="11">
        <v>0.114574</v>
      </c>
      <c r="J7" s="11">
        <v>7.1617E-2</v>
      </c>
      <c r="K7" s="11">
        <v>0.447631</v>
      </c>
      <c r="L7" s="11">
        <v>0.228073</v>
      </c>
      <c r="M7" s="11">
        <v>0.40992600000000001</v>
      </c>
      <c r="N7" s="11">
        <v>0.410051</v>
      </c>
      <c r="O7" s="11">
        <v>0.71767999999999998</v>
      </c>
      <c r="P7" s="10" t="s">
        <v>47</v>
      </c>
    </row>
    <row r="9" spans="1:16" x14ac:dyDescent="0.2">
      <c r="B9" s="9" t="s">
        <v>27</v>
      </c>
      <c r="C9" s="9" t="s">
        <v>28</v>
      </c>
      <c r="D9" s="9" t="s">
        <v>29</v>
      </c>
      <c r="E9" s="9" t="s">
        <v>30</v>
      </c>
      <c r="F9" s="9" t="s">
        <v>31</v>
      </c>
      <c r="G9" s="9" t="s">
        <v>32</v>
      </c>
      <c r="H9" s="9" t="s">
        <v>33</v>
      </c>
      <c r="I9" s="9" t="s">
        <v>34</v>
      </c>
      <c r="J9" s="9" t="s">
        <v>35</v>
      </c>
      <c r="K9" s="9" t="s">
        <v>36</v>
      </c>
      <c r="L9" s="9" t="s">
        <v>37</v>
      </c>
      <c r="M9" s="9" t="s">
        <v>38</v>
      </c>
      <c r="N9" s="9" t="s">
        <v>39</v>
      </c>
      <c r="O9" s="9" t="s">
        <v>40</v>
      </c>
      <c r="P9" s="9" t="s">
        <v>41</v>
      </c>
    </row>
    <row r="10" spans="1:16" x14ac:dyDescent="0.2">
      <c r="A10" s="10">
        <v>0</v>
      </c>
      <c r="B10" s="11">
        <v>0.182778</v>
      </c>
      <c r="C10" s="10">
        <v>1</v>
      </c>
      <c r="D10" s="10">
        <v>1.038284</v>
      </c>
      <c r="E10" s="10">
        <v>3824</v>
      </c>
      <c r="F10" s="10">
        <v>3683</v>
      </c>
      <c r="G10" s="11">
        <v>0.457374</v>
      </c>
      <c r="H10" s="11">
        <v>0.22215399999999999</v>
      </c>
      <c r="I10" s="11">
        <v>0.13363</v>
      </c>
      <c r="J10" s="11">
        <v>8.2197999999999993E-2</v>
      </c>
      <c r="K10" s="11">
        <v>0.43946600000000002</v>
      </c>
      <c r="L10" s="11">
        <v>0.246861</v>
      </c>
      <c r="M10" s="11">
        <v>0.43192000000000003</v>
      </c>
      <c r="N10" s="11">
        <v>0.43268099999999998</v>
      </c>
      <c r="O10" s="11">
        <v>0.73581600000000003</v>
      </c>
      <c r="P10" s="10" t="s">
        <v>48</v>
      </c>
    </row>
    <row r="11" spans="1:16" x14ac:dyDescent="0.2">
      <c r="A11" s="10">
        <v>1</v>
      </c>
      <c r="B11" s="11">
        <v>0.106722</v>
      </c>
      <c r="C11" s="10">
        <v>1</v>
      </c>
      <c r="D11" s="10">
        <v>1.354331</v>
      </c>
      <c r="E11" s="10">
        <v>4988</v>
      </c>
      <c r="F11" s="10">
        <v>3683</v>
      </c>
      <c r="G11" s="11">
        <v>0.30914199999999997</v>
      </c>
      <c r="H11" s="11">
        <v>0.12909799999999999</v>
      </c>
      <c r="I11" s="11">
        <v>7.2835999999999998E-2</v>
      </c>
      <c r="J11" s="11">
        <v>4.4627E-2</v>
      </c>
      <c r="K11" s="11">
        <v>0.34320800000000001</v>
      </c>
      <c r="L11" s="11">
        <v>0.17802299999999999</v>
      </c>
      <c r="M11" s="11">
        <v>0.33548499999999998</v>
      </c>
      <c r="N11" s="11">
        <v>0.33482299999999998</v>
      </c>
      <c r="O11" s="11">
        <v>0.67132899999999995</v>
      </c>
      <c r="P11" s="10" t="s">
        <v>49</v>
      </c>
    </row>
    <row r="12" spans="1:16" x14ac:dyDescent="0.2">
      <c r="A12" s="10">
        <v>2</v>
      </c>
      <c r="B12" s="11">
        <v>0.194075</v>
      </c>
      <c r="C12" s="10">
        <v>1</v>
      </c>
      <c r="D12" s="10">
        <v>1.019549</v>
      </c>
      <c r="E12" s="10">
        <v>3755</v>
      </c>
      <c r="F12" s="10">
        <v>3683</v>
      </c>
      <c r="G12" s="11">
        <v>0.46178399999999997</v>
      </c>
      <c r="H12" s="11">
        <v>0.231348</v>
      </c>
      <c r="I12" s="11">
        <v>0.14247599999999999</v>
      </c>
      <c r="J12" s="11">
        <v>9.3203999999999995E-2</v>
      </c>
      <c r="K12" s="11">
        <v>0.43751800000000002</v>
      </c>
      <c r="L12" s="11">
        <v>0.24870900000000001</v>
      </c>
      <c r="M12" s="11">
        <v>0.43007899999999999</v>
      </c>
      <c r="N12" s="11">
        <v>0.43015100000000001</v>
      </c>
      <c r="O12" s="11">
        <v>0.72905500000000001</v>
      </c>
      <c r="P12" s="10" t="s">
        <v>50</v>
      </c>
    </row>
    <row r="13" spans="1:16" x14ac:dyDescent="0.2">
      <c r="A13" s="10">
        <v>3</v>
      </c>
      <c r="B13" s="11">
        <v>0.164738</v>
      </c>
      <c r="C13" s="10">
        <v>1</v>
      </c>
      <c r="D13" s="10">
        <v>1.0779259999999999</v>
      </c>
      <c r="E13" s="10">
        <v>3970</v>
      </c>
      <c r="F13" s="10">
        <v>3683</v>
      </c>
      <c r="G13" s="11">
        <v>0.41964699999999999</v>
      </c>
      <c r="H13" s="11">
        <v>0.19970599999999999</v>
      </c>
      <c r="I13" s="11">
        <v>0.117606</v>
      </c>
      <c r="J13" s="11">
        <v>7.4725E-2</v>
      </c>
      <c r="K13" s="11">
        <v>0.40081099999999997</v>
      </c>
      <c r="L13" s="11">
        <v>0.221863</v>
      </c>
      <c r="M13" s="11">
        <v>0.39465699999999998</v>
      </c>
      <c r="N13" s="11">
        <v>0.39495999999999998</v>
      </c>
      <c r="O13" s="11">
        <v>0.70848</v>
      </c>
      <c r="P13" s="10" t="s">
        <v>51</v>
      </c>
    </row>
    <row r="14" spans="1:16" x14ac:dyDescent="0.2">
      <c r="A14" s="10">
        <v>4</v>
      </c>
      <c r="B14" s="11">
        <v>0.18223900000000001</v>
      </c>
      <c r="C14" s="10">
        <v>1</v>
      </c>
      <c r="D14" s="10">
        <v>1.052403</v>
      </c>
      <c r="E14" s="10">
        <v>3876</v>
      </c>
      <c r="F14" s="10">
        <v>3683</v>
      </c>
      <c r="G14" s="11">
        <v>0.44324000000000002</v>
      </c>
      <c r="H14" s="11">
        <v>0.213833</v>
      </c>
      <c r="I14" s="11">
        <v>0.132192</v>
      </c>
      <c r="J14" s="11">
        <v>8.8033E-2</v>
      </c>
      <c r="K14" s="11">
        <v>0.41916900000000001</v>
      </c>
      <c r="L14" s="11">
        <v>0.238423</v>
      </c>
      <c r="M14" s="11">
        <v>0.41184399999999999</v>
      </c>
      <c r="N14" s="11">
        <v>0.41260799999999997</v>
      </c>
      <c r="O14" s="11">
        <v>0.722082</v>
      </c>
      <c r="P14" s="10" t="s">
        <v>52</v>
      </c>
    </row>
    <row r="15" spans="1:16" x14ac:dyDescent="0.2">
      <c r="A15" s="10">
        <v>5</v>
      </c>
      <c r="B15" s="11">
        <v>0.15707699999999999</v>
      </c>
      <c r="C15" s="10">
        <v>1</v>
      </c>
      <c r="D15" s="10">
        <v>1.080641</v>
      </c>
      <c r="E15" s="10">
        <v>3980</v>
      </c>
      <c r="F15" s="10">
        <v>3683</v>
      </c>
      <c r="G15" s="11">
        <v>0.40376899999999999</v>
      </c>
      <c r="H15" s="11">
        <v>0.189165</v>
      </c>
      <c r="I15" s="11">
        <v>0.11286400000000001</v>
      </c>
      <c r="J15" s="11">
        <v>7.0619000000000001E-2</v>
      </c>
      <c r="K15" s="11">
        <v>0.38588299999999998</v>
      </c>
      <c r="L15" s="11">
        <v>0.208674</v>
      </c>
      <c r="M15" s="11">
        <v>0.37741400000000003</v>
      </c>
      <c r="N15" s="11">
        <v>0.37763600000000003</v>
      </c>
      <c r="O15" s="11">
        <v>0.70033199999999995</v>
      </c>
      <c r="P15" s="10" t="s">
        <v>53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0F8E1-9C66-ED4B-B49D-AA3A55B87C1F}">
  <dimension ref="A1:H25"/>
  <sheetViews>
    <sheetView workbookViewId="0">
      <selection activeCell="E8" sqref="E8:G13"/>
    </sheetView>
  </sheetViews>
  <sheetFormatPr baseColWidth="10" defaultRowHeight="16" x14ac:dyDescent="0.2"/>
  <sheetData>
    <row r="1" spans="1:8" x14ac:dyDescent="0.2">
      <c r="B1" s="9" t="s">
        <v>54</v>
      </c>
      <c r="C1" s="9" t="s">
        <v>55</v>
      </c>
      <c r="D1" s="9" t="s">
        <v>56</v>
      </c>
      <c r="E1" s="9" t="s">
        <v>57</v>
      </c>
      <c r="F1" s="9" t="s">
        <v>58</v>
      </c>
      <c r="G1" s="9" t="s">
        <v>59</v>
      </c>
      <c r="H1" s="9" t="s">
        <v>40</v>
      </c>
    </row>
    <row r="2" spans="1:8" x14ac:dyDescent="0.2">
      <c r="A2" s="10">
        <v>0</v>
      </c>
      <c r="B2" s="10" t="s">
        <v>60</v>
      </c>
      <c r="C2" s="10">
        <v>5243</v>
      </c>
      <c r="D2" s="10">
        <v>8.0000000000000004E-4</v>
      </c>
      <c r="E2" s="10">
        <v>5.1000000000000004E-3</v>
      </c>
      <c r="F2" s="10">
        <v>1.11E-2</v>
      </c>
      <c r="G2" s="10">
        <v>5.5999999999999999E-3</v>
      </c>
      <c r="H2" s="10">
        <v>0.21609999999999999</v>
      </c>
    </row>
    <row r="3" spans="1:8" x14ac:dyDescent="0.2">
      <c r="A3" s="10">
        <v>1</v>
      </c>
      <c r="B3" s="10" t="s">
        <v>61</v>
      </c>
      <c r="C3" s="10">
        <v>5096</v>
      </c>
      <c r="D3" s="10">
        <v>6.9999999999999999E-4</v>
      </c>
      <c r="E3" s="10">
        <v>4.5999999999999999E-3</v>
      </c>
      <c r="F3" s="10">
        <v>1.14E-2</v>
      </c>
      <c r="G3" s="10">
        <v>5.3E-3</v>
      </c>
      <c r="H3" s="10">
        <v>0.22439999999999999</v>
      </c>
    </row>
    <row r="4" spans="1:8" x14ac:dyDescent="0.2">
      <c r="A4" s="10">
        <v>2</v>
      </c>
      <c r="B4" s="10" t="s">
        <v>62</v>
      </c>
      <c r="C4" s="10">
        <v>5202</v>
      </c>
      <c r="D4" s="10">
        <v>0</v>
      </c>
      <c r="E4" s="10">
        <v>4.1999999999999997E-3</v>
      </c>
      <c r="F4" s="10">
        <v>1.11E-2</v>
      </c>
      <c r="G4" s="10">
        <v>4.7999999999999996E-3</v>
      </c>
      <c r="H4" s="10">
        <v>0.2132</v>
      </c>
    </row>
    <row r="5" spans="1:8" x14ac:dyDescent="0.2">
      <c r="A5" s="10">
        <v>3</v>
      </c>
      <c r="B5" s="10" t="s">
        <v>63</v>
      </c>
      <c r="C5" s="10">
        <v>3359</v>
      </c>
      <c r="D5" s="10">
        <v>2.0000000000000001E-4</v>
      </c>
      <c r="E5" s="10">
        <v>2.3E-3</v>
      </c>
      <c r="F5" s="10">
        <v>4.8999999999999998E-3</v>
      </c>
      <c r="G5" s="10">
        <v>2.7000000000000001E-3</v>
      </c>
      <c r="H5" s="10">
        <v>0.2838</v>
      </c>
    </row>
    <row r="6" spans="1:8" x14ac:dyDescent="0.2">
      <c r="A6" s="10">
        <v>4</v>
      </c>
      <c r="B6" s="10" t="s">
        <v>64</v>
      </c>
      <c r="C6" s="10">
        <v>3796</v>
      </c>
      <c r="D6" s="10">
        <v>2.0000000000000001E-4</v>
      </c>
      <c r="E6" s="10">
        <v>2.8999999999999998E-3</v>
      </c>
      <c r="F6" s="10">
        <v>5.5999999999999999E-3</v>
      </c>
      <c r="G6" s="10">
        <v>3.2000000000000002E-3</v>
      </c>
      <c r="H6" s="10">
        <v>0.27079999999999999</v>
      </c>
    </row>
    <row r="7" spans="1:8" x14ac:dyDescent="0.2">
      <c r="A7" s="10">
        <v>5</v>
      </c>
      <c r="B7" s="10" t="s">
        <v>65</v>
      </c>
      <c r="C7" s="10">
        <v>2849</v>
      </c>
      <c r="D7" s="10">
        <v>1E-3</v>
      </c>
      <c r="E7" s="10">
        <v>3.3999999999999998E-3</v>
      </c>
      <c r="F7" s="10">
        <v>6.1999999999999998E-3</v>
      </c>
      <c r="G7" s="10">
        <v>3.7000000000000002E-3</v>
      </c>
      <c r="H7" s="10">
        <v>0.3014</v>
      </c>
    </row>
    <row r="8" spans="1:8" x14ac:dyDescent="0.2">
      <c r="A8" s="10">
        <v>6</v>
      </c>
      <c r="B8" s="10" t="s">
        <v>42</v>
      </c>
      <c r="C8" s="10">
        <v>4859</v>
      </c>
      <c r="D8" s="10">
        <v>6.9999999999999999E-4</v>
      </c>
      <c r="E8" s="10">
        <v>4.7999999999999996E-3</v>
      </c>
      <c r="F8" s="10">
        <v>1.2E-2</v>
      </c>
      <c r="G8" s="10">
        <v>5.4999999999999997E-3</v>
      </c>
      <c r="H8" s="10">
        <v>0.2298</v>
      </c>
    </row>
    <row r="9" spans="1:8" x14ac:dyDescent="0.2">
      <c r="A9" s="10">
        <v>7</v>
      </c>
      <c r="B9" s="10" t="s">
        <v>43</v>
      </c>
      <c r="C9" s="10">
        <v>4827</v>
      </c>
      <c r="D9" s="10">
        <v>2.0000000000000001E-4</v>
      </c>
      <c r="E9" s="10">
        <v>3.5999999999999999E-3</v>
      </c>
      <c r="F9" s="10">
        <v>9.4999999999999998E-3</v>
      </c>
      <c r="G9" s="10">
        <v>4.0000000000000001E-3</v>
      </c>
      <c r="H9" s="10">
        <v>0.23219999999999999</v>
      </c>
    </row>
    <row r="10" spans="1:8" x14ac:dyDescent="0.2">
      <c r="A10" s="10">
        <v>8</v>
      </c>
      <c r="B10" s="10" t="s">
        <v>44</v>
      </c>
      <c r="C10" s="10">
        <v>4937</v>
      </c>
      <c r="D10" s="10">
        <v>0</v>
      </c>
      <c r="E10" s="10">
        <v>4.0000000000000001E-3</v>
      </c>
      <c r="F10" s="10">
        <v>1.03E-2</v>
      </c>
      <c r="G10" s="10">
        <v>4.5999999999999999E-3</v>
      </c>
      <c r="H10" s="10">
        <v>0.22140000000000001</v>
      </c>
    </row>
    <row r="11" spans="1:8" x14ac:dyDescent="0.2">
      <c r="A11" s="10">
        <v>9</v>
      </c>
      <c r="B11" s="10" t="s">
        <v>45</v>
      </c>
      <c r="C11" s="10">
        <v>2561</v>
      </c>
      <c r="D11" s="10">
        <v>2.0000000000000001E-4</v>
      </c>
      <c r="E11" s="10">
        <v>2.2000000000000001E-3</v>
      </c>
      <c r="F11" s="10">
        <v>4.0000000000000001E-3</v>
      </c>
      <c r="G11" s="10">
        <v>2.3999999999999998E-3</v>
      </c>
      <c r="H11" s="10">
        <v>0.307</v>
      </c>
    </row>
    <row r="12" spans="1:8" x14ac:dyDescent="0.2">
      <c r="A12" s="10">
        <v>10</v>
      </c>
      <c r="B12" s="10" t="s">
        <v>46</v>
      </c>
      <c r="C12" s="10">
        <v>2685</v>
      </c>
      <c r="D12" s="10">
        <v>2.9999999999999997E-4</v>
      </c>
      <c r="E12" s="10">
        <v>3.0999999999999999E-3</v>
      </c>
      <c r="F12" s="10">
        <v>5.1000000000000004E-3</v>
      </c>
      <c r="G12" s="10">
        <v>3.2000000000000002E-3</v>
      </c>
      <c r="H12" s="10">
        <v>0.30499999999999999</v>
      </c>
    </row>
    <row r="13" spans="1:8" x14ac:dyDescent="0.2">
      <c r="A13" s="10">
        <v>11</v>
      </c>
      <c r="B13" s="10" t="s">
        <v>47</v>
      </c>
      <c r="C13" s="10">
        <v>2451</v>
      </c>
      <c r="D13" s="10">
        <v>1E-3</v>
      </c>
      <c r="E13" s="10">
        <v>2.7000000000000001E-3</v>
      </c>
      <c r="F13" s="10">
        <v>5.1999999999999998E-3</v>
      </c>
      <c r="G13" s="10">
        <v>3.0999999999999999E-3</v>
      </c>
      <c r="H13" s="10">
        <v>0.31080000000000002</v>
      </c>
    </row>
    <row r="14" spans="1:8" x14ac:dyDescent="0.2">
      <c r="A14" s="10">
        <v>12</v>
      </c>
      <c r="B14" s="10" t="s">
        <v>66</v>
      </c>
      <c r="C14" s="10">
        <v>514</v>
      </c>
      <c r="D14" s="10">
        <v>0.32100000000000001</v>
      </c>
      <c r="E14" s="10">
        <v>0.4471</v>
      </c>
      <c r="F14" s="10">
        <v>0.46829999999999999</v>
      </c>
      <c r="G14" s="10">
        <v>0.43130000000000002</v>
      </c>
      <c r="H14" s="10">
        <v>0.64570000000000005</v>
      </c>
    </row>
    <row r="15" spans="1:8" x14ac:dyDescent="0.2">
      <c r="A15" s="10">
        <v>13</v>
      </c>
      <c r="B15" s="10" t="s">
        <v>67</v>
      </c>
      <c r="C15" s="10">
        <v>514</v>
      </c>
      <c r="D15" s="10">
        <v>0.29959999999999998</v>
      </c>
      <c r="E15" s="10">
        <v>0.42280000000000001</v>
      </c>
      <c r="F15" s="10">
        <v>0.44209999999999999</v>
      </c>
      <c r="G15" s="10">
        <v>0.40489999999999998</v>
      </c>
      <c r="H15" s="10">
        <v>0.62190000000000001</v>
      </c>
    </row>
    <row r="16" spans="1:8" x14ac:dyDescent="0.2">
      <c r="A16" s="10">
        <v>14</v>
      </c>
      <c r="B16" s="10" t="s">
        <v>68</v>
      </c>
      <c r="C16" s="10">
        <v>514</v>
      </c>
      <c r="D16" s="10">
        <v>0.2918</v>
      </c>
      <c r="E16" s="10">
        <v>0.42970000000000003</v>
      </c>
      <c r="F16" s="10">
        <v>0.4501</v>
      </c>
      <c r="G16" s="10">
        <v>0.40760000000000002</v>
      </c>
      <c r="H16" s="10">
        <v>0.63370000000000004</v>
      </c>
    </row>
    <row r="17" spans="1:8" x14ac:dyDescent="0.2">
      <c r="A17" s="10">
        <v>15</v>
      </c>
      <c r="B17" s="10" t="s">
        <v>69</v>
      </c>
      <c r="C17" s="10">
        <v>514</v>
      </c>
      <c r="D17" s="10">
        <v>0.19070000000000001</v>
      </c>
      <c r="E17" s="10">
        <v>0.30130000000000001</v>
      </c>
      <c r="F17" s="10">
        <v>0.39179999999999998</v>
      </c>
      <c r="G17" s="10">
        <v>0.30559999999999998</v>
      </c>
      <c r="H17" s="10">
        <v>0.54330000000000001</v>
      </c>
    </row>
    <row r="18" spans="1:8" x14ac:dyDescent="0.2">
      <c r="A18" s="10">
        <v>16</v>
      </c>
      <c r="B18" s="10" t="s">
        <v>70</v>
      </c>
      <c r="C18" s="10">
        <v>514</v>
      </c>
      <c r="D18" s="10">
        <v>0.2218</v>
      </c>
      <c r="E18" s="10">
        <v>0.3372</v>
      </c>
      <c r="F18" s="10">
        <v>0.40610000000000002</v>
      </c>
      <c r="G18" s="10">
        <v>0.33689999999999998</v>
      </c>
      <c r="H18" s="10">
        <v>0.56269999999999998</v>
      </c>
    </row>
    <row r="19" spans="1:8" x14ac:dyDescent="0.2">
      <c r="A19" s="10">
        <v>17</v>
      </c>
      <c r="B19" s="10" t="s">
        <v>71</v>
      </c>
      <c r="C19" s="10">
        <v>514</v>
      </c>
      <c r="D19" s="10">
        <v>0.23150000000000001</v>
      </c>
      <c r="E19" s="10">
        <v>0.33050000000000002</v>
      </c>
      <c r="F19" s="10">
        <v>0.35239999999999999</v>
      </c>
      <c r="G19" s="10">
        <v>0.31680000000000003</v>
      </c>
      <c r="H19" s="10">
        <v>0.55940000000000001</v>
      </c>
    </row>
    <row r="20" spans="1:8" x14ac:dyDescent="0.2">
      <c r="A20" s="10">
        <v>18</v>
      </c>
      <c r="B20" s="10" t="s">
        <v>48</v>
      </c>
      <c r="C20" s="10">
        <v>514</v>
      </c>
      <c r="D20" s="10">
        <v>0.32100000000000001</v>
      </c>
      <c r="E20" s="10">
        <v>0.4471</v>
      </c>
      <c r="F20" s="10">
        <v>0.46829999999999999</v>
      </c>
      <c r="G20" s="10">
        <v>0.43130000000000002</v>
      </c>
      <c r="H20" s="10">
        <v>0.64570000000000005</v>
      </c>
    </row>
    <row r="21" spans="1:8" x14ac:dyDescent="0.2">
      <c r="A21" s="10">
        <v>19</v>
      </c>
      <c r="B21" s="10" t="s">
        <v>49</v>
      </c>
      <c r="C21" s="10">
        <v>514</v>
      </c>
      <c r="D21" s="10">
        <v>0.29959999999999998</v>
      </c>
      <c r="E21" s="10">
        <v>0.42280000000000001</v>
      </c>
      <c r="F21" s="10">
        <v>0.44209999999999999</v>
      </c>
      <c r="G21" s="10">
        <v>0.40489999999999998</v>
      </c>
      <c r="H21" s="10">
        <v>0.62190000000000001</v>
      </c>
    </row>
    <row r="22" spans="1:8" x14ac:dyDescent="0.2">
      <c r="A22" s="10">
        <v>20</v>
      </c>
      <c r="B22" s="10" t="s">
        <v>50</v>
      </c>
      <c r="C22" s="10">
        <v>514</v>
      </c>
      <c r="D22" s="10">
        <v>0.2918</v>
      </c>
      <c r="E22" s="10">
        <v>0.42970000000000003</v>
      </c>
      <c r="F22" s="10">
        <v>0.4501</v>
      </c>
      <c r="G22" s="10">
        <v>0.40760000000000002</v>
      </c>
      <c r="H22" s="10">
        <v>0.63370000000000004</v>
      </c>
    </row>
    <row r="23" spans="1:8" x14ac:dyDescent="0.2">
      <c r="A23" s="10">
        <v>21</v>
      </c>
      <c r="B23" s="10" t="s">
        <v>51</v>
      </c>
      <c r="C23" s="10">
        <v>514</v>
      </c>
      <c r="D23" s="10">
        <v>0.19070000000000001</v>
      </c>
      <c r="E23" s="10">
        <v>0.30130000000000001</v>
      </c>
      <c r="F23" s="10">
        <v>0.39179999999999998</v>
      </c>
      <c r="G23" s="10">
        <v>0.30559999999999998</v>
      </c>
      <c r="H23" s="10">
        <v>0.54330000000000001</v>
      </c>
    </row>
    <row r="24" spans="1:8" x14ac:dyDescent="0.2">
      <c r="A24" s="10">
        <v>22</v>
      </c>
      <c r="B24" s="10" t="s">
        <v>52</v>
      </c>
      <c r="C24" s="10">
        <v>514</v>
      </c>
      <c r="D24" s="10">
        <v>0.2218</v>
      </c>
      <c r="E24" s="10">
        <v>0.3372</v>
      </c>
      <c r="F24" s="10">
        <v>0.40610000000000002</v>
      </c>
      <c r="G24" s="10">
        <v>0.33689999999999998</v>
      </c>
      <c r="H24" s="10">
        <v>0.56269999999999998</v>
      </c>
    </row>
    <row r="25" spans="1:8" x14ac:dyDescent="0.2">
      <c r="A25" s="10">
        <v>23</v>
      </c>
      <c r="B25" s="10" t="s">
        <v>53</v>
      </c>
      <c r="C25" s="10">
        <v>514</v>
      </c>
      <c r="D25" s="10">
        <v>0.23150000000000001</v>
      </c>
      <c r="E25" s="10">
        <v>0.33050000000000002</v>
      </c>
      <c r="F25" s="10">
        <v>0.35239999999999999</v>
      </c>
      <c r="G25" s="10">
        <v>0.31680000000000003</v>
      </c>
      <c r="H25" s="10">
        <v>0.55940000000000001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A2B9D-CBA1-DF4E-AC77-2F7A4929108C}">
  <dimension ref="A1:T30"/>
  <sheetViews>
    <sheetView topLeftCell="D1" workbookViewId="0">
      <selection activeCell="O10" sqref="O10"/>
    </sheetView>
  </sheetViews>
  <sheetFormatPr baseColWidth="10" defaultRowHeight="16" x14ac:dyDescent="0.2"/>
  <cols>
    <col min="1" max="1" width="12" customWidth="1"/>
    <col min="3" max="3" width="18.33203125" customWidth="1"/>
    <col min="4" max="4" width="14.83203125" customWidth="1"/>
    <col min="5" max="5" width="20.6640625" customWidth="1"/>
    <col min="6" max="6" width="19.83203125" customWidth="1"/>
    <col min="14" max="14" width="14.33203125" customWidth="1"/>
    <col min="15" max="15" width="14" customWidth="1"/>
    <col min="16" max="16" width="44.6640625" bestFit="1" customWidth="1"/>
  </cols>
  <sheetData>
    <row r="1" spans="1:20" x14ac:dyDescent="0.2">
      <c r="A1" t="s">
        <v>181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178</v>
      </c>
      <c r="R1" t="s">
        <v>179</v>
      </c>
      <c r="S1" t="s">
        <v>182</v>
      </c>
      <c r="T1" t="s">
        <v>180</v>
      </c>
    </row>
    <row r="2" spans="1:20" x14ac:dyDescent="0.2">
      <c r="A2" s="11">
        <v>0</v>
      </c>
      <c r="B2" s="11">
        <v>9.273E-3</v>
      </c>
      <c r="C2" s="11">
        <v>1</v>
      </c>
      <c r="D2" s="11">
        <v>7.4131280000000004</v>
      </c>
      <c r="E2" s="11">
        <v>443268</v>
      </c>
      <c r="F2" s="11">
        <v>59795</v>
      </c>
      <c r="G2" s="11">
        <v>3.9037000000000002E-2</v>
      </c>
      <c r="H2" s="11">
        <v>1.2699999999999999E-2</v>
      </c>
      <c r="I2" s="11">
        <v>5.47E-3</v>
      </c>
      <c r="J2" s="11">
        <v>2.7260000000000001E-3</v>
      </c>
      <c r="K2" s="11">
        <v>8.8465000000000002E-2</v>
      </c>
      <c r="L2" s="11">
        <v>2.8145E-2</v>
      </c>
      <c r="M2" s="11">
        <v>7.6489000000000001E-2</v>
      </c>
      <c r="N2" s="11">
        <v>7.6507000000000006E-2</v>
      </c>
      <c r="O2" s="11">
        <v>0.45942899999999998</v>
      </c>
      <c r="P2" s="11" t="s">
        <v>72</v>
      </c>
      <c r="Q2" s="13" t="str">
        <f t="shared" ref="Q2:Q30" si="0">IF(ISNUMBER(FIND("yesprefix", P2)), "v", "")</f>
        <v/>
      </c>
      <c r="R2" s="13" t="str">
        <f>IF(ISNUMBER(FIND("yesprepend", P2)), "v", "")</f>
        <v/>
      </c>
      <c r="S2" s="13" t="str">
        <f t="shared" ref="S2:S30" si="1">IF(ISNUMBER(FIND("-ae-", P2)), "", IF(ISNUMBER(FIND("-qg-", P2)), "", "v"))</f>
        <v/>
      </c>
      <c r="T2" s="13" t="str">
        <f>IF(ISNUMBER(FIND("-ae-", P2)), "ae", IF(ISNUMBER(FIND("-qg-", P2)), "qg", "ae-qg"))</f>
        <v>ae</v>
      </c>
    </row>
    <row r="3" spans="1:20" x14ac:dyDescent="0.2">
      <c r="A3" s="11">
        <v>1</v>
      </c>
      <c r="B3" s="11">
        <v>9.1129999999999996E-3</v>
      </c>
      <c r="C3" s="11">
        <v>1</v>
      </c>
      <c r="D3" s="11">
        <v>7.6062709999999996</v>
      </c>
      <c r="E3" s="11">
        <v>454817</v>
      </c>
      <c r="F3" s="11">
        <v>59795</v>
      </c>
      <c r="G3" s="11">
        <v>3.9024000000000003E-2</v>
      </c>
      <c r="H3" s="11">
        <v>1.2631E-2</v>
      </c>
      <c r="I3" s="11">
        <v>5.3680000000000004E-3</v>
      </c>
      <c r="J3" s="11">
        <v>2.6059999999999998E-3</v>
      </c>
      <c r="K3" s="11">
        <v>8.7595000000000006E-2</v>
      </c>
      <c r="L3" s="11">
        <v>2.8115999999999999E-2</v>
      </c>
      <c r="M3" s="11">
        <v>7.6002E-2</v>
      </c>
      <c r="N3" s="11">
        <v>7.6051999999999995E-2</v>
      </c>
      <c r="O3" s="11">
        <v>0.459092</v>
      </c>
      <c r="P3" s="11" t="s">
        <v>73</v>
      </c>
      <c r="Q3" s="13" t="str">
        <f t="shared" si="0"/>
        <v>v</v>
      </c>
      <c r="R3" s="13" t="str">
        <f t="shared" ref="R3:R30" si="2">IF(ISNUMBER(FIND("yesprepend", P3)), "v", "")</f>
        <v/>
      </c>
      <c r="S3" s="13" t="str">
        <f t="shared" si="1"/>
        <v/>
      </c>
      <c r="T3" s="13" t="str">
        <f t="shared" ref="T3:T30" si="3">IF(ISNUMBER(FIND("-ae-", P3)), "ae", IF(ISNUMBER(FIND("-qg-", P3)), "qg", "ae-qg"))</f>
        <v>ae</v>
      </c>
    </row>
    <row r="4" spans="1:20" x14ac:dyDescent="0.2">
      <c r="A4" s="11">
        <v>2</v>
      </c>
      <c r="B4" s="11">
        <v>9.1129999999999996E-3</v>
      </c>
      <c r="C4" s="11">
        <v>1</v>
      </c>
      <c r="D4" s="11">
        <v>7.6062709999999996</v>
      </c>
      <c r="E4" s="11">
        <v>454817</v>
      </c>
      <c r="F4" s="11">
        <v>59795</v>
      </c>
      <c r="G4" s="11">
        <v>3.9024000000000003E-2</v>
      </c>
      <c r="H4" s="11">
        <v>1.2631E-2</v>
      </c>
      <c r="I4" s="11">
        <v>5.3680000000000004E-3</v>
      </c>
      <c r="J4" s="11">
        <v>2.6059999999999998E-3</v>
      </c>
      <c r="K4" s="11">
        <v>8.7595000000000006E-2</v>
      </c>
      <c r="L4" s="11">
        <v>2.8115999999999999E-2</v>
      </c>
      <c r="M4" s="11">
        <v>7.6002E-2</v>
      </c>
      <c r="N4" s="11">
        <v>7.6051999999999995E-2</v>
      </c>
      <c r="O4" s="11">
        <v>0.459092</v>
      </c>
      <c r="P4" s="11" t="s">
        <v>74</v>
      </c>
      <c r="Q4" s="13" t="str">
        <f t="shared" si="0"/>
        <v>v</v>
      </c>
      <c r="R4" s="13" t="str">
        <f t="shared" si="2"/>
        <v>v</v>
      </c>
      <c r="S4" s="13" t="str">
        <f t="shared" si="1"/>
        <v/>
      </c>
      <c r="T4" s="13" t="str">
        <f t="shared" si="3"/>
        <v>ae</v>
      </c>
    </row>
    <row r="5" spans="1:20" x14ac:dyDescent="0.2">
      <c r="A5" s="11">
        <v>3</v>
      </c>
      <c r="B5" s="11">
        <v>1.0152E-2</v>
      </c>
      <c r="C5" s="11">
        <v>1</v>
      </c>
      <c r="D5" s="11">
        <v>6.0796890000000001</v>
      </c>
      <c r="E5" s="11">
        <v>363535</v>
      </c>
      <c r="F5" s="11">
        <v>59795</v>
      </c>
      <c r="G5" s="11">
        <v>4.6325999999999999E-2</v>
      </c>
      <c r="H5" s="11">
        <v>1.387E-2</v>
      </c>
      <c r="I5" s="11">
        <v>5.8380000000000003E-3</v>
      </c>
      <c r="J5" s="11">
        <v>2.8319999999999999E-3</v>
      </c>
      <c r="K5" s="11">
        <v>0.11160299999999999</v>
      </c>
      <c r="L5" s="11">
        <v>3.5351E-2</v>
      </c>
      <c r="M5" s="11">
        <v>9.7549999999999998E-2</v>
      </c>
      <c r="N5" s="11">
        <v>9.7642999999999994E-2</v>
      </c>
      <c r="O5" s="11">
        <v>0.483151</v>
      </c>
      <c r="P5" s="11" t="s">
        <v>75</v>
      </c>
      <c r="Q5" s="13" t="str">
        <f t="shared" si="0"/>
        <v/>
      </c>
      <c r="R5" s="13" t="str">
        <f t="shared" si="2"/>
        <v/>
      </c>
      <c r="S5" s="13" t="str">
        <f t="shared" si="1"/>
        <v>v</v>
      </c>
      <c r="T5" s="13" t="str">
        <f t="shared" si="3"/>
        <v>ae-qg</v>
      </c>
    </row>
    <row r="6" spans="1:20" x14ac:dyDescent="0.2">
      <c r="A6" s="11">
        <v>4</v>
      </c>
      <c r="B6" s="11">
        <v>5.6094999999999999E-2</v>
      </c>
      <c r="C6" s="11">
        <v>1</v>
      </c>
      <c r="D6" s="11">
        <v>1.1405639999999999</v>
      </c>
      <c r="E6" s="11">
        <v>68200</v>
      </c>
      <c r="F6" s="11">
        <v>59795</v>
      </c>
      <c r="G6" s="11">
        <v>0.25841599999999998</v>
      </c>
      <c r="H6" s="11">
        <v>6.5823999999999994E-2</v>
      </c>
      <c r="I6" s="11">
        <v>3.1521E-2</v>
      </c>
      <c r="J6" s="11">
        <v>1.8466E-2</v>
      </c>
      <c r="K6" s="11">
        <v>0.22928100000000001</v>
      </c>
      <c r="L6" s="11">
        <v>7.8051999999999996E-2</v>
      </c>
      <c r="M6" s="11">
        <v>0.20877499999999999</v>
      </c>
      <c r="N6" s="11">
        <v>0.20874799999999999</v>
      </c>
      <c r="O6" s="11">
        <v>0.59394199999999997</v>
      </c>
      <c r="P6" s="11" t="s">
        <v>76</v>
      </c>
      <c r="Q6" s="13" t="str">
        <f t="shared" si="0"/>
        <v/>
      </c>
      <c r="R6" s="13" t="str">
        <f t="shared" si="2"/>
        <v/>
      </c>
      <c r="S6" s="13" t="str">
        <f t="shared" si="1"/>
        <v/>
      </c>
      <c r="T6" s="13" t="str">
        <f t="shared" si="3"/>
        <v>qg</v>
      </c>
    </row>
    <row r="7" spans="1:20" x14ac:dyDescent="0.2">
      <c r="A7" s="11">
        <v>5</v>
      </c>
      <c r="B7" s="11">
        <v>5.5210000000000002E-2</v>
      </c>
      <c r="C7" s="11">
        <v>1</v>
      </c>
      <c r="D7" s="11">
        <v>1.1629069999999999</v>
      </c>
      <c r="E7" s="11">
        <v>69536</v>
      </c>
      <c r="F7" s="11">
        <v>59795</v>
      </c>
      <c r="G7" s="11">
        <v>0.25547900000000001</v>
      </c>
      <c r="H7" s="11">
        <v>6.5306000000000003E-2</v>
      </c>
      <c r="I7" s="11">
        <v>3.1259000000000002E-2</v>
      </c>
      <c r="J7" s="11">
        <v>1.7815999999999999E-2</v>
      </c>
      <c r="K7" s="11">
        <v>0.22894900000000001</v>
      </c>
      <c r="L7" s="11">
        <v>7.7098E-2</v>
      </c>
      <c r="M7" s="11">
        <v>0.20844799999999999</v>
      </c>
      <c r="N7" s="11">
        <v>0.208644</v>
      </c>
      <c r="O7" s="11">
        <v>0.59284000000000003</v>
      </c>
      <c r="P7" s="11" t="s">
        <v>77</v>
      </c>
      <c r="Q7" s="13" t="str">
        <f t="shared" si="0"/>
        <v>v</v>
      </c>
      <c r="R7" s="13" t="str">
        <f t="shared" si="2"/>
        <v/>
      </c>
      <c r="S7" s="13" t="str">
        <f t="shared" si="1"/>
        <v/>
      </c>
      <c r="T7" s="13" t="str">
        <f t="shared" si="3"/>
        <v>qg</v>
      </c>
    </row>
    <row r="8" spans="1:20" x14ac:dyDescent="0.2">
      <c r="A8" s="11">
        <v>6</v>
      </c>
      <c r="B8" s="11">
        <v>0.16638600000000001</v>
      </c>
      <c r="C8" s="11">
        <v>1</v>
      </c>
      <c r="D8" s="11">
        <v>1.0275609999999999</v>
      </c>
      <c r="E8" s="11">
        <v>61443</v>
      </c>
      <c r="F8" s="11">
        <v>59795</v>
      </c>
      <c r="G8" s="11">
        <v>0.44584400000000002</v>
      </c>
      <c r="H8" s="11">
        <v>0.203098</v>
      </c>
      <c r="I8" s="11">
        <v>0.116059</v>
      </c>
      <c r="J8" s="11">
        <v>7.2928999999999994E-2</v>
      </c>
      <c r="K8" s="11">
        <v>0.445492</v>
      </c>
      <c r="L8" s="11">
        <v>0.226128</v>
      </c>
      <c r="M8" s="11">
        <v>0.409221</v>
      </c>
      <c r="N8" s="11">
        <v>0.40910800000000003</v>
      </c>
      <c r="O8" s="11">
        <v>0.71702100000000002</v>
      </c>
      <c r="P8" s="11" t="s">
        <v>78</v>
      </c>
      <c r="Q8" s="13" t="str">
        <f t="shared" si="0"/>
        <v>v</v>
      </c>
      <c r="R8" s="13" t="str">
        <f t="shared" si="2"/>
        <v>v</v>
      </c>
      <c r="S8" s="13" t="str">
        <f t="shared" si="1"/>
        <v/>
      </c>
      <c r="T8" s="13" t="str">
        <f t="shared" si="3"/>
        <v>qg</v>
      </c>
    </row>
    <row r="9" spans="1:20" x14ac:dyDescent="0.2">
      <c r="A9" s="11">
        <v>7</v>
      </c>
      <c r="B9" s="11">
        <v>1.8563E-2</v>
      </c>
      <c r="C9" s="11">
        <v>1</v>
      </c>
      <c r="D9" s="11">
        <v>3.8202859999999998</v>
      </c>
      <c r="E9" s="11">
        <v>228434</v>
      </c>
      <c r="F9" s="11">
        <v>59795</v>
      </c>
      <c r="G9" s="11">
        <v>8.7631000000000001E-2</v>
      </c>
      <c r="H9" s="11">
        <v>2.3446999999999999E-2</v>
      </c>
      <c r="I9" s="11">
        <v>1.0449E-2</v>
      </c>
      <c r="J9" s="11">
        <v>5.5310000000000003E-3</v>
      </c>
      <c r="K9" s="11">
        <v>0.17060900000000001</v>
      </c>
      <c r="L9" s="11">
        <v>5.7396000000000003E-2</v>
      </c>
      <c r="M9" s="11">
        <v>0.14640300000000001</v>
      </c>
      <c r="N9" s="11">
        <v>0.14644499999999999</v>
      </c>
      <c r="O9" s="11">
        <v>0.55984900000000004</v>
      </c>
      <c r="P9" s="11" t="s">
        <v>79</v>
      </c>
      <c r="Q9" s="13" t="str">
        <f t="shared" si="0"/>
        <v>v</v>
      </c>
      <c r="R9" s="13" t="str">
        <f t="shared" si="2"/>
        <v/>
      </c>
      <c r="S9" s="13" t="str">
        <f t="shared" si="1"/>
        <v>v</v>
      </c>
      <c r="T9" s="13" t="str">
        <f t="shared" si="3"/>
        <v>ae-qg</v>
      </c>
    </row>
    <row r="10" spans="1:20" x14ac:dyDescent="0.2">
      <c r="A10" s="11">
        <v>8</v>
      </c>
      <c r="B10" s="11">
        <v>3.9309999999999996E-3</v>
      </c>
      <c r="C10" s="11">
        <v>1</v>
      </c>
      <c r="D10" s="11">
        <v>1.2525630000000001</v>
      </c>
      <c r="E10" s="11">
        <v>74897</v>
      </c>
      <c r="F10" s="11">
        <v>59795</v>
      </c>
      <c r="G10" s="11">
        <v>3.4273999999999999E-2</v>
      </c>
      <c r="H10" s="11">
        <v>7.2059999999999997E-3</v>
      </c>
      <c r="I10" s="11">
        <v>1.8400000000000001E-3</v>
      </c>
      <c r="J10" s="11">
        <v>5.2499999999999997E-4</v>
      </c>
      <c r="K10" s="11">
        <v>5.2340999999999999E-2</v>
      </c>
      <c r="L10" s="11">
        <v>1.206E-2</v>
      </c>
      <c r="M10" s="11">
        <v>5.0688999999999998E-2</v>
      </c>
      <c r="N10" s="11">
        <v>5.0585999999999999E-2</v>
      </c>
      <c r="O10" s="11">
        <v>0.29675099999999999</v>
      </c>
      <c r="P10" s="11" t="s">
        <v>187</v>
      </c>
      <c r="Q10" s="13" t="str">
        <f t="shared" si="0"/>
        <v/>
      </c>
      <c r="R10" s="13" t="str">
        <f t="shared" si="2"/>
        <v/>
      </c>
      <c r="S10" s="13" t="str">
        <f t="shared" si="1"/>
        <v>v</v>
      </c>
      <c r="T10" s="13" t="str">
        <f t="shared" si="3"/>
        <v>ae-qg</v>
      </c>
    </row>
    <row r="11" spans="1:20" x14ac:dyDescent="0.2">
      <c r="A11" s="11">
        <v>9</v>
      </c>
      <c r="B11" s="11">
        <v>6.1397E-2</v>
      </c>
      <c r="C11" s="11">
        <v>1</v>
      </c>
      <c r="D11" s="11">
        <v>2.5380549999999999</v>
      </c>
      <c r="E11" s="11">
        <v>151763</v>
      </c>
      <c r="F11" s="11">
        <v>59795</v>
      </c>
      <c r="G11" s="11">
        <v>0.19193099999999999</v>
      </c>
      <c r="H11" s="11">
        <v>7.7752000000000002E-2</v>
      </c>
      <c r="I11" s="11">
        <v>4.0784000000000001E-2</v>
      </c>
      <c r="J11" s="11">
        <v>2.3347E-2</v>
      </c>
      <c r="K11" s="11">
        <v>0.38086199999999998</v>
      </c>
      <c r="L11" s="11">
        <v>0.189522</v>
      </c>
      <c r="M11" s="11">
        <v>0.339138</v>
      </c>
      <c r="N11" s="11">
        <v>0.33929700000000002</v>
      </c>
      <c r="O11" s="11">
        <v>0.68616299999999997</v>
      </c>
      <c r="P11" s="11" t="s">
        <v>42</v>
      </c>
      <c r="Q11" s="13" t="str">
        <f t="shared" si="0"/>
        <v/>
      </c>
      <c r="R11" s="13" t="str">
        <f t="shared" si="2"/>
        <v/>
      </c>
      <c r="S11" s="13" t="str">
        <f t="shared" si="1"/>
        <v>v</v>
      </c>
      <c r="T11" s="13" t="str">
        <f t="shared" si="3"/>
        <v>ae-qg</v>
      </c>
    </row>
    <row r="12" spans="1:20" x14ac:dyDescent="0.2">
      <c r="A12" s="11">
        <v>10</v>
      </c>
      <c r="B12" s="11">
        <v>0.14814099999999999</v>
      </c>
      <c r="C12" s="11">
        <v>1</v>
      </c>
      <c r="D12" s="11">
        <v>1.155046</v>
      </c>
      <c r="E12" s="11">
        <v>69066</v>
      </c>
      <c r="F12" s="11">
        <v>59795</v>
      </c>
      <c r="G12" s="11">
        <v>0.405366</v>
      </c>
      <c r="H12" s="11">
        <v>0.18104799999999999</v>
      </c>
      <c r="I12" s="11">
        <v>0.102727</v>
      </c>
      <c r="J12" s="11">
        <v>6.3881999999999994E-2</v>
      </c>
      <c r="K12" s="11">
        <v>0.43954199999999999</v>
      </c>
      <c r="L12" s="11">
        <v>0.22450000000000001</v>
      </c>
      <c r="M12" s="11">
        <v>0.40125300000000003</v>
      </c>
      <c r="N12" s="11">
        <v>0.40135999999999999</v>
      </c>
      <c r="O12" s="11">
        <v>0.71461699999999995</v>
      </c>
      <c r="P12" s="11" t="s">
        <v>43</v>
      </c>
      <c r="Q12" s="13" t="str">
        <f t="shared" si="0"/>
        <v/>
      </c>
      <c r="R12" s="13" t="str">
        <f t="shared" si="2"/>
        <v/>
      </c>
      <c r="S12" s="13" t="str">
        <f t="shared" si="1"/>
        <v>v</v>
      </c>
      <c r="T12" s="13" t="str">
        <f t="shared" si="3"/>
        <v>ae-qg</v>
      </c>
    </row>
    <row r="13" spans="1:20" x14ac:dyDescent="0.2">
      <c r="A13" s="11">
        <v>11</v>
      </c>
      <c r="B13" s="11">
        <v>0.13844999999999999</v>
      </c>
      <c r="C13" s="11">
        <v>1</v>
      </c>
      <c r="D13" s="11">
        <v>1.2407729999999999</v>
      </c>
      <c r="E13" s="11">
        <v>74192</v>
      </c>
      <c r="F13" s="11">
        <v>59795</v>
      </c>
      <c r="G13" s="11">
        <v>0.380027</v>
      </c>
      <c r="H13" s="11">
        <v>0.16986999999999999</v>
      </c>
      <c r="I13" s="11">
        <v>9.5867999999999995E-2</v>
      </c>
      <c r="J13" s="11">
        <v>5.9371E-2</v>
      </c>
      <c r="K13" s="11">
        <v>0.436944</v>
      </c>
      <c r="L13" s="11">
        <v>0.22451099999999999</v>
      </c>
      <c r="M13" s="11">
        <v>0.39775700000000003</v>
      </c>
      <c r="N13" s="11">
        <v>0.39791100000000001</v>
      </c>
      <c r="O13" s="11">
        <v>0.71414699999999998</v>
      </c>
      <c r="P13" s="11" t="s">
        <v>44</v>
      </c>
      <c r="Q13" s="13" t="str">
        <f t="shared" si="0"/>
        <v/>
      </c>
      <c r="R13" s="13" t="str">
        <f t="shared" si="2"/>
        <v/>
      </c>
      <c r="S13" s="13" t="str">
        <f t="shared" si="1"/>
        <v>v</v>
      </c>
      <c r="T13" s="13" t="str">
        <f t="shared" si="3"/>
        <v>ae-qg</v>
      </c>
    </row>
    <row r="14" spans="1:20" x14ac:dyDescent="0.2">
      <c r="A14" s="11">
        <v>12</v>
      </c>
      <c r="B14" s="11">
        <v>0.15876199999999999</v>
      </c>
      <c r="C14" s="11">
        <v>1</v>
      </c>
      <c r="D14" s="11">
        <v>1.077582</v>
      </c>
      <c r="E14" s="11">
        <v>64434</v>
      </c>
      <c r="F14" s="11">
        <v>59795</v>
      </c>
      <c r="G14" s="11">
        <v>0.430006</v>
      </c>
      <c r="H14" s="11">
        <v>0.19456100000000001</v>
      </c>
      <c r="I14" s="11">
        <v>0.110598</v>
      </c>
      <c r="J14" s="11">
        <v>6.8659999999999999E-2</v>
      </c>
      <c r="K14" s="11">
        <v>0.44318600000000002</v>
      </c>
      <c r="L14" s="11">
        <v>0.22611800000000001</v>
      </c>
      <c r="M14" s="11">
        <v>0.40607300000000002</v>
      </c>
      <c r="N14" s="11">
        <v>0.40636100000000003</v>
      </c>
      <c r="O14" s="11">
        <v>0.71598899999999999</v>
      </c>
      <c r="P14" s="11" t="s">
        <v>45</v>
      </c>
      <c r="Q14" s="13" t="str">
        <f t="shared" si="0"/>
        <v/>
      </c>
      <c r="R14" s="13" t="str">
        <f t="shared" si="2"/>
        <v/>
      </c>
      <c r="S14" s="13" t="str">
        <f t="shared" si="1"/>
        <v>v</v>
      </c>
      <c r="T14" s="13" t="str">
        <f t="shared" si="3"/>
        <v>ae-qg</v>
      </c>
    </row>
    <row r="15" spans="1:20" x14ac:dyDescent="0.2">
      <c r="A15" s="11">
        <v>13</v>
      </c>
      <c r="B15" s="11">
        <v>0.15768499999999999</v>
      </c>
      <c r="C15" s="11">
        <v>1</v>
      </c>
      <c r="D15" s="11">
        <v>1.0797730000000001</v>
      </c>
      <c r="E15" s="11">
        <v>64565</v>
      </c>
      <c r="F15" s="11">
        <v>59795</v>
      </c>
      <c r="G15" s="11">
        <v>0.43060500000000002</v>
      </c>
      <c r="H15" s="11">
        <v>0.19295000000000001</v>
      </c>
      <c r="I15" s="11">
        <v>0.10926</v>
      </c>
      <c r="J15" s="11">
        <v>6.8104999999999999E-2</v>
      </c>
      <c r="K15" s="11">
        <v>0.44374599999999997</v>
      </c>
      <c r="L15" s="11">
        <v>0.22429099999999999</v>
      </c>
      <c r="M15" s="11">
        <v>0.40612799999999999</v>
      </c>
      <c r="N15" s="11">
        <v>0.40609099999999998</v>
      </c>
      <c r="O15" s="11">
        <v>0.71635499999999996</v>
      </c>
      <c r="P15" s="11" t="s">
        <v>46</v>
      </c>
      <c r="Q15" s="13" t="str">
        <f t="shared" si="0"/>
        <v/>
      </c>
      <c r="R15" s="13" t="str">
        <f t="shared" si="2"/>
        <v/>
      </c>
      <c r="S15" s="13" t="str">
        <f t="shared" si="1"/>
        <v>v</v>
      </c>
      <c r="T15" s="13" t="str">
        <f t="shared" si="3"/>
        <v>ae-qg</v>
      </c>
    </row>
    <row r="16" spans="1:20" x14ac:dyDescent="0.2">
      <c r="A16" s="11">
        <v>14</v>
      </c>
      <c r="B16" s="11">
        <v>0.16433600000000001</v>
      </c>
      <c r="C16" s="11">
        <v>1</v>
      </c>
      <c r="D16" s="11">
        <v>1.045606</v>
      </c>
      <c r="E16" s="11">
        <v>62522</v>
      </c>
      <c r="F16" s="11">
        <v>59795</v>
      </c>
      <c r="G16" s="11">
        <v>0.44184400000000001</v>
      </c>
      <c r="H16" s="11">
        <v>0.20116999999999999</v>
      </c>
      <c r="I16" s="11">
        <v>0.114574</v>
      </c>
      <c r="J16" s="11">
        <v>7.1617E-2</v>
      </c>
      <c r="K16" s="11">
        <v>0.44741999999999998</v>
      </c>
      <c r="L16" s="11">
        <v>0.22813900000000001</v>
      </c>
      <c r="M16" s="11">
        <v>0.41010200000000002</v>
      </c>
      <c r="N16" s="11">
        <v>0.41019699999999998</v>
      </c>
      <c r="O16" s="11">
        <v>0.71767999999999998</v>
      </c>
      <c r="P16" s="11" t="s">
        <v>47</v>
      </c>
      <c r="Q16" s="13" t="str">
        <f t="shared" si="0"/>
        <v/>
      </c>
      <c r="R16" s="13" t="str">
        <f t="shared" si="2"/>
        <v/>
      </c>
      <c r="S16" s="13" t="str">
        <f t="shared" si="1"/>
        <v>v</v>
      </c>
      <c r="T16" s="13" t="str">
        <f t="shared" si="3"/>
        <v>ae-qg</v>
      </c>
    </row>
    <row r="17" spans="1:20" x14ac:dyDescent="0.2">
      <c r="A17" s="11">
        <v>0</v>
      </c>
      <c r="B17" s="11">
        <v>8.0230000000000006E-3</v>
      </c>
      <c r="C17" s="11">
        <v>1</v>
      </c>
      <c r="D17" s="11">
        <v>1.44909</v>
      </c>
      <c r="E17" s="11">
        <v>5337</v>
      </c>
      <c r="F17" s="11">
        <v>3683</v>
      </c>
      <c r="G17" s="11">
        <v>4.6468000000000002E-2</v>
      </c>
      <c r="H17" s="11">
        <v>1.0897E-2</v>
      </c>
      <c r="I17" s="11">
        <v>3.9630000000000004E-3</v>
      </c>
      <c r="J17" s="11">
        <v>2.065E-3</v>
      </c>
      <c r="K17" s="11">
        <v>6.1645999999999999E-2</v>
      </c>
      <c r="L17" s="11">
        <v>1.6902E-2</v>
      </c>
      <c r="M17" s="11">
        <v>6.0102999999999997E-2</v>
      </c>
      <c r="N17" s="11">
        <v>6.0020999999999998E-2</v>
      </c>
      <c r="O17" s="11">
        <v>0.35168100000000002</v>
      </c>
      <c r="P17" s="11" t="s">
        <v>80</v>
      </c>
      <c r="Q17" s="13" t="str">
        <f t="shared" si="0"/>
        <v/>
      </c>
      <c r="R17" s="13" t="str">
        <f t="shared" si="2"/>
        <v/>
      </c>
      <c r="S17" s="13" t="str">
        <f t="shared" si="1"/>
        <v/>
      </c>
      <c r="T17" s="13" t="str">
        <f t="shared" si="3"/>
        <v>ae</v>
      </c>
    </row>
    <row r="18" spans="1:20" x14ac:dyDescent="0.2">
      <c r="A18" s="11">
        <v>1</v>
      </c>
      <c r="B18" s="11">
        <v>3.552E-3</v>
      </c>
      <c r="C18" s="11">
        <v>1</v>
      </c>
      <c r="D18" s="11">
        <v>1.4276409999999999</v>
      </c>
      <c r="E18" s="11">
        <v>5258</v>
      </c>
      <c r="F18" s="11">
        <v>3683</v>
      </c>
      <c r="G18" s="11">
        <v>4.1841000000000003E-2</v>
      </c>
      <c r="H18" s="11">
        <v>7.6709999999999999E-3</v>
      </c>
      <c r="I18" s="11">
        <v>1.8959999999999999E-3</v>
      </c>
      <c r="J18" s="11">
        <v>2.6200000000000003E-4</v>
      </c>
      <c r="K18" s="11">
        <v>5.6634999999999998E-2</v>
      </c>
      <c r="L18" s="11">
        <v>1.3216E-2</v>
      </c>
      <c r="M18" s="11">
        <v>5.4585000000000002E-2</v>
      </c>
      <c r="N18" s="11">
        <v>5.4873999999999999E-2</v>
      </c>
      <c r="O18" s="11">
        <v>0.33877499999999999</v>
      </c>
      <c r="P18" s="11" t="s">
        <v>81</v>
      </c>
      <c r="Q18" s="13" t="str">
        <f t="shared" si="0"/>
        <v>v</v>
      </c>
      <c r="R18" s="13" t="str">
        <f t="shared" si="2"/>
        <v/>
      </c>
      <c r="S18" s="13" t="str">
        <f t="shared" si="1"/>
        <v/>
      </c>
      <c r="T18" s="13" t="str">
        <f t="shared" si="3"/>
        <v>ae</v>
      </c>
    </row>
    <row r="19" spans="1:20" x14ac:dyDescent="0.2">
      <c r="A19" s="11">
        <v>2</v>
      </c>
      <c r="B19" s="11">
        <v>7.5384999999999994E-2</v>
      </c>
      <c r="C19" s="11">
        <v>1</v>
      </c>
      <c r="D19" s="11">
        <v>1.308173</v>
      </c>
      <c r="E19" s="11">
        <v>4818</v>
      </c>
      <c r="F19" s="11">
        <v>3683</v>
      </c>
      <c r="G19" s="11">
        <v>0.181196</v>
      </c>
      <c r="H19" s="11">
        <v>8.6291999999999994E-2</v>
      </c>
      <c r="I19" s="11">
        <v>5.5957E-2</v>
      </c>
      <c r="J19" s="11">
        <v>3.6912E-2</v>
      </c>
      <c r="K19" s="11">
        <v>0.208089</v>
      </c>
      <c r="L19" s="11">
        <v>0.118212</v>
      </c>
      <c r="M19" s="11">
        <v>0.206155</v>
      </c>
      <c r="N19" s="11">
        <v>0.20643</v>
      </c>
      <c r="O19" s="11">
        <v>0.49598599999999998</v>
      </c>
      <c r="P19" s="11" t="s">
        <v>82</v>
      </c>
      <c r="Q19" s="13" t="str">
        <f t="shared" si="0"/>
        <v/>
      </c>
      <c r="R19" s="13" t="str">
        <f t="shared" si="2"/>
        <v/>
      </c>
      <c r="S19" s="13" t="str">
        <f t="shared" si="1"/>
        <v>v</v>
      </c>
      <c r="T19" s="13" t="str">
        <f t="shared" si="3"/>
        <v>ae-qg</v>
      </c>
    </row>
    <row r="20" spans="1:20" x14ac:dyDescent="0.2">
      <c r="A20" s="11">
        <v>3</v>
      </c>
      <c r="B20" s="11">
        <v>0.20030700000000001</v>
      </c>
      <c r="C20" s="11">
        <v>0.95701700000000001</v>
      </c>
      <c r="D20" s="11">
        <v>0.95791499999999996</v>
      </c>
      <c r="E20" s="11">
        <v>3528</v>
      </c>
      <c r="F20" s="11">
        <v>3683</v>
      </c>
      <c r="G20" s="11">
        <v>0.47222199999999998</v>
      </c>
      <c r="H20" s="11">
        <v>0.241309</v>
      </c>
      <c r="I20" s="11">
        <v>0.15512899999999999</v>
      </c>
      <c r="J20" s="11">
        <v>0.10856499999999999</v>
      </c>
      <c r="K20" s="11">
        <v>0.42047600000000002</v>
      </c>
      <c r="L20" s="11">
        <v>0.246389</v>
      </c>
      <c r="M20" s="11">
        <v>0.418734</v>
      </c>
      <c r="N20" s="11">
        <v>0.41907800000000001</v>
      </c>
      <c r="O20" s="11">
        <v>0.71264000000000005</v>
      </c>
      <c r="P20" s="11" t="s">
        <v>83</v>
      </c>
      <c r="Q20" s="13" t="str">
        <f t="shared" si="0"/>
        <v/>
      </c>
      <c r="R20" s="13" t="str">
        <f t="shared" si="2"/>
        <v/>
      </c>
      <c r="S20" s="13" t="str">
        <f t="shared" si="1"/>
        <v/>
      </c>
      <c r="T20" s="13" t="str">
        <f t="shared" si="3"/>
        <v>qg</v>
      </c>
    </row>
    <row r="21" spans="1:20" x14ac:dyDescent="0.2">
      <c r="A21" s="11">
        <v>4</v>
      </c>
      <c r="B21" s="11">
        <v>0.187002</v>
      </c>
      <c r="C21" s="11">
        <v>0.913076</v>
      </c>
      <c r="D21" s="11">
        <v>0.91664400000000001</v>
      </c>
      <c r="E21" s="11">
        <v>3376</v>
      </c>
      <c r="F21" s="11">
        <v>3683</v>
      </c>
      <c r="G21" s="11">
        <v>0.48933599999999999</v>
      </c>
      <c r="H21" s="11">
        <v>0.23977200000000001</v>
      </c>
      <c r="I21" s="11">
        <v>0.14915400000000001</v>
      </c>
      <c r="J21" s="11">
        <v>0.100535</v>
      </c>
      <c r="K21" s="11">
        <v>0.41712199999999999</v>
      </c>
      <c r="L21" s="11">
        <v>0.232654</v>
      </c>
      <c r="M21" s="11">
        <v>0.41310599999999997</v>
      </c>
      <c r="N21" s="11">
        <v>0.41362900000000002</v>
      </c>
      <c r="O21" s="11">
        <v>0.71600699999999995</v>
      </c>
      <c r="P21" s="11" t="s">
        <v>84</v>
      </c>
      <c r="Q21" s="13" t="str">
        <f t="shared" si="0"/>
        <v>v</v>
      </c>
      <c r="R21" s="13" t="str">
        <f t="shared" si="2"/>
        <v/>
      </c>
      <c r="S21" s="13" t="str">
        <f t="shared" si="1"/>
        <v/>
      </c>
      <c r="T21" s="13" t="str">
        <f t="shared" si="3"/>
        <v>qg</v>
      </c>
    </row>
    <row r="22" spans="1:20" x14ac:dyDescent="0.2">
      <c r="A22" s="11">
        <v>5</v>
      </c>
      <c r="B22" s="11">
        <v>0.20718500000000001</v>
      </c>
      <c r="C22" s="11">
        <v>0.98935499999999998</v>
      </c>
      <c r="D22" s="11">
        <v>0.98941100000000004</v>
      </c>
      <c r="E22" s="11">
        <v>3644</v>
      </c>
      <c r="F22" s="11">
        <v>3683</v>
      </c>
      <c r="G22" s="11">
        <v>0.48435800000000001</v>
      </c>
      <c r="H22" s="11">
        <v>0.24390999999999999</v>
      </c>
      <c r="I22" s="11">
        <v>0.155529</v>
      </c>
      <c r="J22" s="11">
        <v>0.104669</v>
      </c>
      <c r="K22" s="11">
        <v>0.44826899999999997</v>
      </c>
      <c r="L22" s="11">
        <v>0.252467</v>
      </c>
      <c r="M22" s="11">
        <v>0.44022499999999998</v>
      </c>
      <c r="N22" s="11">
        <v>0.439917</v>
      </c>
      <c r="O22" s="11">
        <v>0.73903600000000003</v>
      </c>
      <c r="P22" s="11" t="s">
        <v>85</v>
      </c>
      <c r="Q22" s="13" t="str">
        <f t="shared" si="0"/>
        <v>v</v>
      </c>
      <c r="R22" s="13" t="str">
        <f t="shared" si="2"/>
        <v>v</v>
      </c>
      <c r="S22" s="13" t="str">
        <f t="shared" si="1"/>
        <v/>
      </c>
      <c r="T22" s="13" t="str">
        <f t="shared" si="3"/>
        <v>qg</v>
      </c>
    </row>
    <row r="23" spans="1:20" x14ac:dyDescent="0.2">
      <c r="A23" s="11">
        <v>6</v>
      </c>
      <c r="B23" s="11">
        <v>0.22483300000000001</v>
      </c>
      <c r="C23" s="11">
        <v>0.94161300000000003</v>
      </c>
      <c r="D23" s="11">
        <v>0.94325300000000001</v>
      </c>
      <c r="E23" s="11">
        <v>3474</v>
      </c>
      <c r="F23" s="11">
        <v>3683</v>
      </c>
      <c r="G23" s="11">
        <v>0.51036300000000001</v>
      </c>
      <c r="H23" s="11">
        <v>0.27191500000000002</v>
      </c>
      <c r="I23" s="11">
        <v>0.17960799999999999</v>
      </c>
      <c r="J23" s="11">
        <v>0.13041</v>
      </c>
      <c r="K23" s="11">
        <v>0.45467299999999999</v>
      </c>
      <c r="L23" s="11">
        <v>0.27895599999999998</v>
      </c>
      <c r="M23" s="11">
        <v>0.45180500000000001</v>
      </c>
      <c r="N23" s="11">
        <v>0.45222499999999999</v>
      </c>
      <c r="O23" s="11">
        <v>0.74182700000000001</v>
      </c>
      <c r="P23" s="11" t="s">
        <v>86</v>
      </c>
      <c r="Q23" s="13" t="str">
        <f t="shared" si="0"/>
        <v>v</v>
      </c>
      <c r="R23" s="13" t="str">
        <f t="shared" si="2"/>
        <v/>
      </c>
      <c r="S23" s="13" t="str">
        <f t="shared" si="1"/>
        <v>v</v>
      </c>
      <c r="T23" s="13" t="str">
        <f t="shared" si="3"/>
        <v>ae-qg</v>
      </c>
    </row>
    <row r="24" spans="1:20" x14ac:dyDescent="0.2">
      <c r="A24" s="11">
        <v>7</v>
      </c>
      <c r="B24" s="11">
        <v>2.8869999999999998E-3</v>
      </c>
      <c r="C24" s="11">
        <v>1</v>
      </c>
      <c r="D24" s="11">
        <v>2.3339669999999999</v>
      </c>
      <c r="E24" s="11">
        <v>8596</v>
      </c>
      <c r="F24" s="11">
        <v>3683</v>
      </c>
      <c r="G24" s="11">
        <v>1.4541999999999999E-2</v>
      </c>
      <c r="H24" s="11">
        <v>4.7320000000000001E-3</v>
      </c>
      <c r="I24" s="11">
        <v>1.7409999999999999E-3</v>
      </c>
      <c r="J24" s="11">
        <v>5.8E-4</v>
      </c>
      <c r="K24" s="11">
        <v>3.7213000000000003E-2</v>
      </c>
      <c r="L24" s="11">
        <v>1.4279E-2</v>
      </c>
      <c r="M24" s="11">
        <v>3.6664000000000002E-2</v>
      </c>
      <c r="N24" s="11">
        <v>3.6898E-2</v>
      </c>
      <c r="O24" s="11">
        <v>0.18868499999999999</v>
      </c>
      <c r="P24" s="11" t="s">
        <v>188</v>
      </c>
      <c r="Q24" s="13" t="str">
        <f t="shared" si="0"/>
        <v/>
      </c>
      <c r="R24" s="13" t="str">
        <f t="shared" si="2"/>
        <v/>
      </c>
      <c r="S24" s="13" t="str">
        <f t="shared" si="1"/>
        <v>v</v>
      </c>
      <c r="T24" s="13" t="str">
        <f t="shared" si="3"/>
        <v>ae-qg</v>
      </c>
    </row>
    <row r="25" spans="1:20" x14ac:dyDescent="0.2">
      <c r="A25" s="11">
        <v>8</v>
      </c>
      <c r="B25" s="11">
        <v>0.182778</v>
      </c>
      <c r="C25" s="11">
        <v>1</v>
      </c>
      <c r="D25" s="11">
        <v>1.038284</v>
      </c>
      <c r="E25" s="11">
        <v>3824</v>
      </c>
      <c r="F25" s="11">
        <v>3683</v>
      </c>
      <c r="G25" s="11">
        <v>0.457374</v>
      </c>
      <c r="H25" s="11">
        <v>0.22215399999999999</v>
      </c>
      <c r="I25" s="11">
        <v>0.13363</v>
      </c>
      <c r="J25" s="11">
        <v>8.2197999999999993E-2</v>
      </c>
      <c r="K25" s="11">
        <v>0.43820900000000002</v>
      </c>
      <c r="L25" s="11">
        <v>0.246812</v>
      </c>
      <c r="M25" s="11">
        <v>0.43233100000000002</v>
      </c>
      <c r="N25" s="11">
        <v>0.43221599999999999</v>
      </c>
      <c r="O25" s="11">
        <v>0.73581600000000003</v>
      </c>
      <c r="P25" s="11" t="s">
        <v>48</v>
      </c>
      <c r="Q25" s="13" t="str">
        <f t="shared" si="0"/>
        <v/>
      </c>
      <c r="R25" s="13" t="str">
        <f t="shared" si="2"/>
        <v/>
      </c>
      <c r="S25" s="13" t="str">
        <f t="shared" si="1"/>
        <v>v</v>
      </c>
      <c r="T25" s="13" t="str">
        <f t="shared" si="3"/>
        <v>ae-qg</v>
      </c>
    </row>
    <row r="26" spans="1:20" x14ac:dyDescent="0.2">
      <c r="A26" s="11">
        <v>9</v>
      </c>
      <c r="B26" s="11">
        <v>0.106722</v>
      </c>
      <c r="C26" s="11">
        <v>1</v>
      </c>
      <c r="D26" s="11">
        <v>1.354331</v>
      </c>
      <c r="E26" s="11">
        <v>4988</v>
      </c>
      <c r="F26" s="11">
        <v>3683</v>
      </c>
      <c r="G26" s="11">
        <v>0.30914199999999997</v>
      </c>
      <c r="H26" s="11">
        <v>0.12909799999999999</v>
      </c>
      <c r="I26" s="11">
        <v>7.2835999999999998E-2</v>
      </c>
      <c r="J26" s="11">
        <v>4.4627E-2</v>
      </c>
      <c r="K26" s="11">
        <v>0.34282600000000002</v>
      </c>
      <c r="L26" s="11">
        <v>0.17743500000000001</v>
      </c>
      <c r="M26" s="11">
        <v>0.33507700000000001</v>
      </c>
      <c r="N26" s="11">
        <v>0.33586899999999997</v>
      </c>
      <c r="O26" s="11">
        <v>0.67132899999999995</v>
      </c>
      <c r="P26" s="11" t="s">
        <v>49</v>
      </c>
      <c r="Q26" s="13" t="str">
        <f t="shared" si="0"/>
        <v/>
      </c>
      <c r="R26" s="13" t="str">
        <f t="shared" si="2"/>
        <v/>
      </c>
      <c r="S26" s="13" t="str">
        <f t="shared" si="1"/>
        <v>v</v>
      </c>
      <c r="T26" s="13" t="str">
        <f t="shared" si="3"/>
        <v>ae-qg</v>
      </c>
    </row>
    <row r="27" spans="1:20" x14ac:dyDescent="0.2">
      <c r="A27" s="11">
        <v>10</v>
      </c>
      <c r="B27" s="11">
        <v>0.194075</v>
      </c>
      <c r="C27" s="11">
        <v>1</v>
      </c>
      <c r="D27" s="11">
        <v>1.019549</v>
      </c>
      <c r="E27" s="11">
        <v>3755</v>
      </c>
      <c r="F27" s="11">
        <v>3683</v>
      </c>
      <c r="G27" s="11">
        <v>0.46178399999999997</v>
      </c>
      <c r="H27" s="11">
        <v>0.231348</v>
      </c>
      <c r="I27" s="11">
        <v>0.14247599999999999</v>
      </c>
      <c r="J27" s="11">
        <v>9.3203999999999995E-2</v>
      </c>
      <c r="K27" s="11">
        <v>0.43599700000000002</v>
      </c>
      <c r="L27" s="11">
        <v>0.24801400000000001</v>
      </c>
      <c r="M27" s="11">
        <v>0.42950300000000002</v>
      </c>
      <c r="N27" s="11">
        <v>0.43012099999999998</v>
      </c>
      <c r="O27" s="11">
        <v>0.72905500000000001</v>
      </c>
      <c r="P27" s="11" t="s">
        <v>50</v>
      </c>
      <c r="Q27" s="13" t="str">
        <f t="shared" si="0"/>
        <v/>
      </c>
      <c r="R27" s="13" t="str">
        <f t="shared" si="2"/>
        <v/>
      </c>
      <c r="S27" s="13" t="str">
        <f t="shared" si="1"/>
        <v>v</v>
      </c>
      <c r="T27" s="13" t="str">
        <f t="shared" si="3"/>
        <v>ae-qg</v>
      </c>
    </row>
    <row r="28" spans="1:20" x14ac:dyDescent="0.2">
      <c r="A28" s="11">
        <v>11</v>
      </c>
      <c r="B28" s="11">
        <v>0.164738</v>
      </c>
      <c r="C28" s="11">
        <v>1</v>
      </c>
      <c r="D28" s="11">
        <v>1.0779259999999999</v>
      </c>
      <c r="E28" s="11">
        <v>3970</v>
      </c>
      <c r="F28" s="11">
        <v>3683</v>
      </c>
      <c r="G28" s="11">
        <v>0.41964699999999999</v>
      </c>
      <c r="H28" s="11">
        <v>0.19970599999999999</v>
      </c>
      <c r="I28" s="11">
        <v>0.117606</v>
      </c>
      <c r="J28" s="11">
        <v>7.4725E-2</v>
      </c>
      <c r="K28" s="11">
        <v>0.40027699999999999</v>
      </c>
      <c r="L28" s="11">
        <v>0.22145599999999999</v>
      </c>
      <c r="M28" s="11">
        <v>0.39424999999999999</v>
      </c>
      <c r="N28" s="11">
        <v>0.39485500000000001</v>
      </c>
      <c r="O28" s="11">
        <v>0.70848</v>
      </c>
      <c r="P28" s="11" t="s">
        <v>51</v>
      </c>
      <c r="Q28" s="13" t="str">
        <f t="shared" si="0"/>
        <v/>
      </c>
      <c r="R28" s="13" t="str">
        <f t="shared" si="2"/>
        <v/>
      </c>
      <c r="S28" s="13" t="str">
        <f t="shared" si="1"/>
        <v>v</v>
      </c>
      <c r="T28" s="13" t="str">
        <f t="shared" si="3"/>
        <v>ae-qg</v>
      </c>
    </row>
    <row r="29" spans="1:20" x14ac:dyDescent="0.2">
      <c r="A29" s="11">
        <v>12</v>
      </c>
      <c r="B29" s="11">
        <v>0.18223900000000001</v>
      </c>
      <c r="C29" s="11">
        <v>1</v>
      </c>
      <c r="D29" s="11">
        <v>1.052403</v>
      </c>
      <c r="E29" s="11">
        <v>3876</v>
      </c>
      <c r="F29" s="11">
        <v>3683</v>
      </c>
      <c r="G29" s="11">
        <v>0.44324000000000002</v>
      </c>
      <c r="H29" s="11">
        <v>0.213833</v>
      </c>
      <c r="I29" s="11">
        <v>0.132192</v>
      </c>
      <c r="J29" s="11">
        <v>8.8033E-2</v>
      </c>
      <c r="K29" s="11">
        <v>0.41882200000000003</v>
      </c>
      <c r="L29" s="11">
        <v>0.237091</v>
      </c>
      <c r="M29" s="11">
        <v>0.41135100000000002</v>
      </c>
      <c r="N29" s="11">
        <v>0.41272599999999998</v>
      </c>
      <c r="O29" s="11">
        <v>0.722082</v>
      </c>
      <c r="P29" s="11" t="s">
        <v>52</v>
      </c>
      <c r="Q29" s="13" t="str">
        <f t="shared" si="0"/>
        <v/>
      </c>
      <c r="R29" s="13" t="str">
        <f t="shared" si="2"/>
        <v/>
      </c>
      <c r="S29" s="13" t="str">
        <f t="shared" si="1"/>
        <v>v</v>
      </c>
      <c r="T29" s="13" t="str">
        <f t="shared" si="3"/>
        <v>ae-qg</v>
      </c>
    </row>
    <row r="30" spans="1:20" x14ac:dyDescent="0.2">
      <c r="A30" s="11">
        <v>13</v>
      </c>
      <c r="B30" s="11">
        <v>0.15707699999999999</v>
      </c>
      <c r="C30" s="11">
        <v>1</v>
      </c>
      <c r="D30" s="11">
        <v>1.080641</v>
      </c>
      <c r="E30" s="11">
        <v>3980</v>
      </c>
      <c r="F30" s="11">
        <v>3683</v>
      </c>
      <c r="G30" s="11">
        <v>0.40376899999999999</v>
      </c>
      <c r="H30" s="11">
        <v>0.189165</v>
      </c>
      <c r="I30" s="11">
        <v>0.11286400000000001</v>
      </c>
      <c r="J30" s="11">
        <v>7.0619000000000001E-2</v>
      </c>
      <c r="K30" s="11">
        <v>0.38440400000000002</v>
      </c>
      <c r="L30" s="11">
        <v>0.20907000000000001</v>
      </c>
      <c r="M30" s="11">
        <v>0.37796099999999999</v>
      </c>
      <c r="N30" s="11">
        <v>0.37822299999999998</v>
      </c>
      <c r="O30" s="11">
        <v>0.70033199999999995</v>
      </c>
      <c r="P30" s="11" t="s">
        <v>53</v>
      </c>
      <c r="Q30" s="13" t="str">
        <f t="shared" si="0"/>
        <v/>
      </c>
      <c r="R30" s="13" t="str">
        <f t="shared" si="2"/>
        <v/>
      </c>
      <c r="S30" s="13" t="str">
        <f t="shared" si="1"/>
        <v>v</v>
      </c>
      <c r="T30" s="13" t="str">
        <f t="shared" si="3"/>
        <v>ae-qg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F8860-8F66-2D41-9859-97B53F4DDF58}">
  <dimension ref="A1:L59"/>
  <sheetViews>
    <sheetView workbookViewId="0">
      <selection activeCell="L2" sqref="L2"/>
    </sheetView>
  </sheetViews>
  <sheetFormatPr baseColWidth="10" defaultRowHeight="16" x14ac:dyDescent="0.2"/>
  <cols>
    <col min="1" max="1" width="12" customWidth="1"/>
    <col min="2" max="2" width="57" customWidth="1"/>
    <col min="3" max="3" width="19.5" style="12" customWidth="1"/>
    <col min="4" max="4" width="16" style="12" customWidth="1"/>
    <col min="5" max="5" width="12.33203125" style="12" customWidth="1"/>
    <col min="6" max="7" width="11.33203125" style="12" bestFit="1" customWidth="1"/>
    <col min="8" max="8" width="14" style="12" customWidth="1"/>
    <col min="10" max="10" width="11.33203125" customWidth="1"/>
    <col min="11" max="11" width="13" customWidth="1"/>
  </cols>
  <sheetData>
    <row r="1" spans="1:12" x14ac:dyDescent="0.2">
      <c r="A1" s="9" t="s">
        <v>181</v>
      </c>
      <c r="B1" s="9" t="s">
        <v>54</v>
      </c>
      <c r="C1" s="9" t="s">
        <v>55</v>
      </c>
      <c r="D1" s="9" t="s">
        <v>56</v>
      </c>
      <c r="E1" s="9" t="s">
        <v>57</v>
      </c>
      <c r="F1" s="9" t="s">
        <v>58</v>
      </c>
      <c r="G1" s="9" t="s">
        <v>59</v>
      </c>
      <c r="H1" s="9" t="s">
        <v>40</v>
      </c>
      <c r="I1" s="9" t="s">
        <v>178</v>
      </c>
      <c r="J1" s="9" t="s">
        <v>179</v>
      </c>
      <c r="K1" s="9" t="s">
        <v>182</v>
      </c>
      <c r="L1" s="9" t="s">
        <v>180</v>
      </c>
    </row>
    <row r="2" spans="1:12" x14ac:dyDescent="0.2">
      <c r="A2" s="10">
        <v>0</v>
      </c>
      <c r="B2" s="10" t="s">
        <v>87</v>
      </c>
      <c r="C2" s="10">
        <v>4980</v>
      </c>
      <c r="D2" s="10">
        <v>5.0000000000000001E-4</v>
      </c>
      <c r="E2" s="10">
        <v>5.1999999999999998E-3</v>
      </c>
      <c r="F2" s="10">
        <v>1.35E-2</v>
      </c>
      <c r="G2" s="10">
        <v>5.8999999999999999E-3</v>
      </c>
      <c r="H2" s="10">
        <v>0.21940000000000001</v>
      </c>
      <c r="I2" t="str">
        <f t="shared" ref="I2:I56" si="0">IF(ISNUMBER(FIND("yesprefix", B2)), "v", "")</f>
        <v/>
      </c>
      <c r="J2" t="str">
        <f t="shared" ref="J2:J33" si="1">IF(ISNUMBER(FIND("yesprepend", B2)), "v", "")</f>
        <v/>
      </c>
      <c r="K2" t="str">
        <f t="shared" ref="K2:K33" si="2">IF(ISNUMBER(FIND("-ae-", B2)), "", IF(ISNUMBER(FIND("-qg-", B2)), "", "v"))</f>
        <v/>
      </c>
      <c r="L2" t="str">
        <f t="shared" ref="L2:L33" si="3">IF(ISNUMBER(FIND("-ae-", B2)), "ae", IF(ISNUMBER(FIND("-qg-", B2)), "qg", "ae-qg"))</f>
        <v>ae</v>
      </c>
    </row>
    <row r="3" spans="1:12" x14ac:dyDescent="0.2">
      <c r="A3" s="10">
        <v>1</v>
      </c>
      <c r="B3" s="10" t="s">
        <v>88</v>
      </c>
      <c r="C3" s="10">
        <v>5143</v>
      </c>
      <c r="D3" s="10">
        <v>5.0000000000000001E-4</v>
      </c>
      <c r="E3" s="10">
        <v>5.4999999999999997E-3</v>
      </c>
      <c r="F3" s="10">
        <v>1.43E-2</v>
      </c>
      <c r="G3" s="10">
        <v>6.1000000000000004E-3</v>
      </c>
      <c r="H3" s="10">
        <v>0.21990000000000001</v>
      </c>
      <c r="I3" t="str">
        <f t="shared" si="0"/>
        <v>v</v>
      </c>
      <c r="J3" t="str">
        <f t="shared" si="1"/>
        <v/>
      </c>
      <c r="K3" t="str">
        <f t="shared" si="2"/>
        <v/>
      </c>
      <c r="L3" t="str">
        <f t="shared" si="3"/>
        <v>ae</v>
      </c>
    </row>
    <row r="4" spans="1:12" x14ac:dyDescent="0.2">
      <c r="A4" s="10">
        <v>2</v>
      </c>
      <c r="B4" s="10" t="s">
        <v>89</v>
      </c>
      <c r="C4" s="10">
        <v>5143</v>
      </c>
      <c r="D4" s="10">
        <v>5.0000000000000001E-4</v>
      </c>
      <c r="E4" s="10">
        <v>5.4999999999999997E-3</v>
      </c>
      <c r="F4" s="10">
        <v>1.43E-2</v>
      </c>
      <c r="G4" s="10">
        <v>6.1000000000000004E-3</v>
      </c>
      <c r="H4" s="10">
        <v>0.21990000000000001</v>
      </c>
      <c r="I4" t="str">
        <f t="shared" si="0"/>
        <v>v</v>
      </c>
      <c r="J4" t="str">
        <f t="shared" si="1"/>
        <v>v</v>
      </c>
      <c r="K4" t="str">
        <f t="shared" si="2"/>
        <v/>
      </c>
      <c r="L4" t="str">
        <f t="shared" si="3"/>
        <v>ae</v>
      </c>
    </row>
    <row r="5" spans="1:12" x14ac:dyDescent="0.2">
      <c r="A5" s="10">
        <v>3</v>
      </c>
      <c r="B5" s="10" t="s">
        <v>90</v>
      </c>
      <c r="C5" s="10">
        <v>4403</v>
      </c>
      <c r="D5" s="10">
        <v>2.0000000000000001E-4</v>
      </c>
      <c r="E5" s="10">
        <v>4.1999999999999997E-3</v>
      </c>
      <c r="F5" s="10">
        <v>1.09E-2</v>
      </c>
      <c r="G5" s="10">
        <v>4.7999999999999996E-3</v>
      </c>
      <c r="H5" s="10">
        <v>0.23549999999999999</v>
      </c>
      <c r="I5" t="str">
        <f t="shared" si="0"/>
        <v/>
      </c>
      <c r="J5" t="str">
        <f t="shared" si="1"/>
        <v/>
      </c>
      <c r="K5" t="str">
        <f t="shared" si="2"/>
        <v>v</v>
      </c>
      <c r="L5" t="str">
        <f t="shared" si="3"/>
        <v>ae-qg</v>
      </c>
    </row>
    <row r="6" spans="1:12" x14ac:dyDescent="0.2">
      <c r="A6" s="10">
        <v>4</v>
      </c>
      <c r="B6" s="10" t="s">
        <v>91</v>
      </c>
      <c r="C6" s="10">
        <v>1204</v>
      </c>
      <c r="D6" s="10">
        <v>0</v>
      </c>
      <c r="E6" s="10">
        <v>5.9999999999999995E-4</v>
      </c>
      <c r="F6" s="10">
        <v>1.2999999999999999E-3</v>
      </c>
      <c r="G6" s="10">
        <v>8.0000000000000004E-4</v>
      </c>
      <c r="H6" s="10">
        <v>0.33660000000000001</v>
      </c>
      <c r="I6" t="str">
        <f t="shared" si="0"/>
        <v/>
      </c>
      <c r="J6" t="str">
        <f t="shared" si="1"/>
        <v/>
      </c>
      <c r="K6" t="str">
        <f t="shared" si="2"/>
        <v/>
      </c>
      <c r="L6" t="str">
        <f t="shared" si="3"/>
        <v>qg</v>
      </c>
    </row>
    <row r="7" spans="1:12" x14ac:dyDescent="0.2">
      <c r="A7" s="10">
        <v>5</v>
      </c>
      <c r="B7" s="10" t="s">
        <v>92</v>
      </c>
      <c r="C7" s="10">
        <v>1204</v>
      </c>
      <c r="D7" s="10">
        <v>0</v>
      </c>
      <c r="E7" s="10">
        <v>6.9999999999999999E-4</v>
      </c>
      <c r="F7" s="10">
        <v>1.2999999999999999E-3</v>
      </c>
      <c r="G7" s="10">
        <v>8.0000000000000004E-4</v>
      </c>
      <c r="H7" s="10">
        <v>0.33629999999999999</v>
      </c>
      <c r="I7" t="str">
        <f t="shared" si="0"/>
        <v>v</v>
      </c>
      <c r="J7" t="str">
        <f t="shared" si="1"/>
        <v/>
      </c>
      <c r="K7" t="str">
        <f t="shared" si="2"/>
        <v/>
      </c>
      <c r="L7" t="str">
        <f t="shared" si="3"/>
        <v>qg</v>
      </c>
    </row>
    <row r="8" spans="1:12" x14ac:dyDescent="0.2">
      <c r="A8" s="10">
        <v>6</v>
      </c>
      <c r="B8" s="10" t="s">
        <v>93</v>
      </c>
      <c r="C8" s="10">
        <v>1204</v>
      </c>
      <c r="D8" s="10">
        <v>0</v>
      </c>
      <c r="E8" s="10">
        <v>5.9999999999999995E-4</v>
      </c>
      <c r="F8" s="10">
        <v>1.8E-3</v>
      </c>
      <c r="G8" s="10">
        <v>8.0000000000000004E-4</v>
      </c>
      <c r="H8" s="10">
        <v>0.33479999999999999</v>
      </c>
      <c r="I8" t="str">
        <f t="shared" si="0"/>
        <v>v</v>
      </c>
      <c r="J8" t="str">
        <f t="shared" si="1"/>
        <v>v</v>
      </c>
      <c r="K8" t="str">
        <f t="shared" si="2"/>
        <v/>
      </c>
      <c r="L8" t="str">
        <f t="shared" si="3"/>
        <v>qg</v>
      </c>
    </row>
    <row r="9" spans="1:12" x14ac:dyDescent="0.2">
      <c r="A9" s="10">
        <v>7</v>
      </c>
      <c r="B9" s="10" t="s">
        <v>94</v>
      </c>
      <c r="C9" s="10">
        <v>5280</v>
      </c>
      <c r="D9" s="10">
        <v>5.0000000000000001E-4</v>
      </c>
      <c r="E9" s="10">
        <v>5.4999999999999997E-3</v>
      </c>
      <c r="F9" s="10">
        <v>1.2800000000000001E-2</v>
      </c>
      <c r="G9" s="10">
        <v>6.1999999999999998E-3</v>
      </c>
      <c r="H9" s="10">
        <v>0.21279999999999999</v>
      </c>
      <c r="I9" t="str">
        <f t="shared" si="0"/>
        <v>v</v>
      </c>
      <c r="J9" t="str">
        <f t="shared" si="1"/>
        <v/>
      </c>
      <c r="K9" t="str">
        <f t="shared" si="2"/>
        <v>v</v>
      </c>
      <c r="L9" t="str">
        <f t="shared" si="3"/>
        <v>ae-qg</v>
      </c>
    </row>
    <row r="10" spans="1:12" x14ac:dyDescent="0.2">
      <c r="A10" s="10">
        <v>8</v>
      </c>
      <c r="B10" s="10" t="s">
        <v>183</v>
      </c>
      <c r="C10" s="10">
        <v>1204</v>
      </c>
      <c r="D10" s="10">
        <v>0</v>
      </c>
      <c r="E10" s="10">
        <v>2.9999999999999997E-4</v>
      </c>
      <c r="F10" s="10">
        <v>4.0000000000000002E-4</v>
      </c>
      <c r="G10" s="10">
        <v>2.9999999999999997E-4</v>
      </c>
      <c r="H10" s="10">
        <v>0.3327</v>
      </c>
      <c r="I10" t="str">
        <f t="shared" si="0"/>
        <v/>
      </c>
      <c r="J10" t="str">
        <f t="shared" si="1"/>
        <v/>
      </c>
      <c r="K10" t="str">
        <f t="shared" si="2"/>
        <v>v</v>
      </c>
      <c r="L10" t="str">
        <f t="shared" si="3"/>
        <v>ae-qg</v>
      </c>
    </row>
    <row r="11" spans="1:12" x14ac:dyDescent="0.2">
      <c r="A11" s="10">
        <v>9</v>
      </c>
      <c r="B11" s="10" t="s">
        <v>60</v>
      </c>
      <c r="C11" s="10">
        <v>5243</v>
      </c>
      <c r="D11" s="10">
        <v>8.0000000000000004E-4</v>
      </c>
      <c r="E11" s="10">
        <v>5.1000000000000004E-3</v>
      </c>
      <c r="F11" s="10">
        <v>1.11E-2</v>
      </c>
      <c r="G11" s="10">
        <v>5.5999999999999999E-3</v>
      </c>
      <c r="H11" s="10">
        <v>0.21609999999999999</v>
      </c>
      <c r="I11" t="str">
        <f t="shared" si="0"/>
        <v/>
      </c>
      <c r="J11" t="str">
        <f t="shared" si="1"/>
        <v/>
      </c>
      <c r="K11" t="str">
        <f t="shared" si="2"/>
        <v>v</v>
      </c>
      <c r="L11" t="str">
        <f t="shared" si="3"/>
        <v>ae-qg</v>
      </c>
    </row>
    <row r="12" spans="1:12" x14ac:dyDescent="0.2">
      <c r="A12" s="10">
        <v>10</v>
      </c>
      <c r="B12" s="10" t="s">
        <v>61</v>
      </c>
      <c r="C12" s="10">
        <v>5096</v>
      </c>
      <c r="D12" s="10">
        <v>6.9999999999999999E-4</v>
      </c>
      <c r="E12" s="10">
        <v>4.5999999999999999E-3</v>
      </c>
      <c r="F12" s="10">
        <v>1.14E-2</v>
      </c>
      <c r="G12" s="10">
        <v>5.3E-3</v>
      </c>
      <c r="H12" s="10">
        <v>0.22439999999999999</v>
      </c>
      <c r="I12" t="str">
        <f t="shared" si="0"/>
        <v/>
      </c>
      <c r="J12" t="str">
        <f t="shared" si="1"/>
        <v/>
      </c>
      <c r="K12" t="str">
        <f t="shared" si="2"/>
        <v>v</v>
      </c>
      <c r="L12" t="str">
        <f t="shared" si="3"/>
        <v>ae-qg</v>
      </c>
    </row>
    <row r="13" spans="1:12" x14ac:dyDescent="0.2">
      <c r="A13" s="10">
        <v>11</v>
      </c>
      <c r="B13" s="10" t="s">
        <v>62</v>
      </c>
      <c r="C13" s="10">
        <v>5202</v>
      </c>
      <c r="D13" s="10">
        <v>0</v>
      </c>
      <c r="E13" s="10">
        <v>4.1999999999999997E-3</v>
      </c>
      <c r="F13" s="10">
        <v>1.11E-2</v>
      </c>
      <c r="G13" s="10">
        <v>4.7999999999999996E-3</v>
      </c>
      <c r="H13" s="10">
        <v>0.2132</v>
      </c>
      <c r="I13" t="str">
        <f t="shared" si="0"/>
        <v/>
      </c>
      <c r="J13" t="str">
        <f t="shared" si="1"/>
        <v/>
      </c>
      <c r="K13" t="str">
        <f t="shared" si="2"/>
        <v>v</v>
      </c>
      <c r="L13" t="str">
        <f t="shared" si="3"/>
        <v>ae-qg</v>
      </c>
    </row>
    <row r="14" spans="1:12" x14ac:dyDescent="0.2">
      <c r="A14" s="10">
        <v>12</v>
      </c>
      <c r="B14" s="10" t="s">
        <v>63</v>
      </c>
      <c r="C14" s="10">
        <v>3359</v>
      </c>
      <c r="D14" s="10">
        <v>2.0000000000000001E-4</v>
      </c>
      <c r="E14" s="10">
        <v>2.3E-3</v>
      </c>
      <c r="F14" s="10">
        <v>4.8999999999999998E-3</v>
      </c>
      <c r="G14" s="10">
        <v>2.7000000000000001E-3</v>
      </c>
      <c r="H14" s="10">
        <v>0.2838</v>
      </c>
      <c r="I14" t="str">
        <f t="shared" si="0"/>
        <v/>
      </c>
      <c r="J14" t="str">
        <f t="shared" si="1"/>
        <v/>
      </c>
      <c r="K14" t="str">
        <f t="shared" si="2"/>
        <v>v</v>
      </c>
      <c r="L14" t="str">
        <f t="shared" si="3"/>
        <v>ae-qg</v>
      </c>
    </row>
    <row r="15" spans="1:12" x14ac:dyDescent="0.2">
      <c r="A15" s="10">
        <v>13</v>
      </c>
      <c r="B15" s="10" t="s">
        <v>64</v>
      </c>
      <c r="C15" s="10">
        <v>3796</v>
      </c>
      <c r="D15" s="10">
        <v>2.0000000000000001E-4</v>
      </c>
      <c r="E15" s="10">
        <v>2.8999999999999998E-3</v>
      </c>
      <c r="F15" s="10">
        <v>5.5999999999999999E-3</v>
      </c>
      <c r="G15" s="10">
        <v>3.2000000000000002E-3</v>
      </c>
      <c r="H15" s="10">
        <v>0.27079999999999999</v>
      </c>
      <c r="I15" t="str">
        <f t="shared" si="0"/>
        <v/>
      </c>
      <c r="J15" t="str">
        <f t="shared" si="1"/>
        <v/>
      </c>
      <c r="K15" t="str">
        <f t="shared" si="2"/>
        <v>v</v>
      </c>
      <c r="L15" t="str">
        <f t="shared" si="3"/>
        <v>ae-qg</v>
      </c>
    </row>
    <row r="16" spans="1:12" x14ac:dyDescent="0.2">
      <c r="A16" s="10">
        <v>14</v>
      </c>
      <c r="B16" s="10" t="s">
        <v>65</v>
      </c>
      <c r="C16" s="10">
        <v>2849</v>
      </c>
      <c r="D16" s="10">
        <v>1E-3</v>
      </c>
      <c r="E16" s="10">
        <v>3.3999999999999998E-3</v>
      </c>
      <c r="F16" s="10">
        <v>6.1999999999999998E-3</v>
      </c>
      <c r="G16" s="10">
        <v>3.7000000000000002E-3</v>
      </c>
      <c r="H16" s="10">
        <v>0.3014</v>
      </c>
      <c r="I16" t="str">
        <f t="shared" si="0"/>
        <v/>
      </c>
      <c r="J16" t="str">
        <f t="shared" si="1"/>
        <v/>
      </c>
      <c r="K16" t="str">
        <f t="shared" si="2"/>
        <v>v</v>
      </c>
      <c r="L16" t="str">
        <f t="shared" si="3"/>
        <v>ae-qg</v>
      </c>
    </row>
    <row r="17" spans="1:12" x14ac:dyDescent="0.2">
      <c r="A17" s="10">
        <v>15</v>
      </c>
      <c r="B17" s="10" t="s">
        <v>95</v>
      </c>
      <c r="C17" s="10">
        <v>4651</v>
      </c>
      <c r="D17" s="10">
        <v>0</v>
      </c>
      <c r="E17" s="10">
        <v>4.1000000000000003E-3</v>
      </c>
      <c r="F17" s="10">
        <v>1.1299999999999999E-2</v>
      </c>
      <c r="G17" s="10">
        <v>4.7999999999999996E-3</v>
      </c>
      <c r="H17" s="10">
        <v>0.22789999999999999</v>
      </c>
      <c r="I17" t="str">
        <f t="shared" si="0"/>
        <v/>
      </c>
      <c r="J17" t="str">
        <f t="shared" si="1"/>
        <v/>
      </c>
      <c r="K17" t="str">
        <f t="shared" si="2"/>
        <v/>
      </c>
      <c r="L17" t="str">
        <f t="shared" si="3"/>
        <v>ae</v>
      </c>
    </row>
    <row r="18" spans="1:12" x14ac:dyDescent="0.2">
      <c r="A18" s="10">
        <v>16</v>
      </c>
      <c r="B18" s="10" t="s">
        <v>96</v>
      </c>
      <c r="C18" s="10">
        <v>4752</v>
      </c>
      <c r="D18" s="10">
        <v>2.0000000000000001E-4</v>
      </c>
      <c r="E18" s="10">
        <v>3.3E-3</v>
      </c>
      <c r="F18" s="10">
        <v>1.03E-2</v>
      </c>
      <c r="G18" s="10">
        <v>4.0000000000000001E-3</v>
      </c>
      <c r="H18" s="10">
        <v>0.22850000000000001</v>
      </c>
      <c r="I18" t="str">
        <f t="shared" si="0"/>
        <v>v</v>
      </c>
      <c r="J18" t="str">
        <f t="shared" si="1"/>
        <v/>
      </c>
      <c r="K18" t="str">
        <f t="shared" si="2"/>
        <v/>
      </c>
      <c r="L18" t="str">
        <f t="shared" si="3"/>
        <v>ae</v>
      </c>
    </row>
    <row r="19" spans="1:12" x14ac:dyDescent="0.2">
      <c r="A19" s="10">
        <v>17</v>
      </c>
      <c r="B19" s="10" t="s">
        <v>97</v>
      </c>
      <c r="C19" s="10">
        <v>4752</v>
      </c>
      <c r="D19" s="10">
        <v>2.0000000000000001E-4</v>
      </c>
      <c r="E19" s="10">
        <v>3.3E-3</v>
      </c>
      <c r="F19" s="10">
        <v>1.03E-2</v>
      </c>
      <c r="G19" s="10">
        <v>4.0000000000000001E-3</v>
      </c>
      <c r="H19" s="10">
        <v>0.22850000000000001</v>
      </c>
      <c r="I19" t="str">
        <f t="shared" si="0"/>
        <v>v</v>
      </c>
      <c r="J19" t="str">
        <f t="shared" si="1"/>
        <v>v</v>
      </c>
      <c r="K19" t="str">
        <f t="shared" si="2"/>
        <v/>
      </c>
      <c r="L19" t="str">
        <f t="shared" si="3"/>
        <v>ae</v>
      </c>
    </row>
    <row r="20" spans="1:12" x14ac:dyDescent="0.2">
      <c r="A20" s="10">
        <v>18</v>
      </c>
      <c r="B20" s="10" t="s">
        <v>98</v>
      </c>
      <c r="C20" s="10">
        <v>4030</v>
      </c>
      <c r="D20" s="10">
        <v>2.0000000000000001E-4</v>
      </c>
      <c r="E20" s="10">
        <v>3.7000000000000002E-3</v>
      </c>
      <c r="F20" s="10">
        <v>9.1000000000000004E-3</v>
      </c>
      <c r="G20" s="10">
        <v>4.1000000000000003E-3</v>
      </c>
      <c r="H20" s="10">
        <v>0.25030000000000002</v>
      </c>
      <c r="I20" t="str">
        <f t="shared" si="0"/>
        <v/>
      </c>
      <c r="J20" t="str">
        <f t="shared" si="1"/>
        <v/>
      </c>
      <c r="K20" t="str">
        <f t="shared" si="2"/>
        <v>v</v>
      </c>
      <c r="L20" t="str">
        <f t="shared" si="3"/>
        <v>ae-qg</v>
      </c>
    </row>
    <row r="21" spans="1:12" x14ac:dyDescent="0.2">
      <c r="A21" s="10">
        <v>19</v>
      </c>
      <c r="B21" s="10" t="s">
        <v>99</v>
      </c>
      <c r="C21" s="10">
        <v>1204</v>
      </c>
      <c r="D21" s="10">
        <v>0</v>
      </c>
      <c r="E21" s="10">
        <v>5.9999999999999995E-4</v>
      </c>
      <c r="F21" s="10">
        <v>1.2999999999999999E-3</v>
      </c>
      <c r="G21" s="10">
        <v>8.0000000000000004E-4</v>
      </c>
      <c r="H21" s="10">
        <v>0.33660000000000001</v>
      </c>
      <c r="I21" t="str">
        <f t="shared" si="0"/>
        <v/>
      </c>
      <c r="J21" t="str">
        <f t="shared" si="1"/>
        <v/>
      </c>
      <c r="K21" t="str">
        <f t="shared" si="2"/>
        <v/>
      </c>
      <c r="L21" t="str">
        <f t="shared" si="3"/>
        <v>qg</v>
      </c>
    </row>
    <row r="22" spans="1:12" x14ac:dyDescent="0.2">
      <c r="A22" s="10">
        <v>20</v>
      </c>
      <c r="B22" s="10" t="s">
        <v>100</v>
      </c>
      <c r="C22" s="10">
        <v>1204</v>
      </c>
      <c r="D22" s="10">
        <v>0</v>
      </c>
      <c r="E22" s="10">
        <v>6.9999999999999999E-4</v>
      </c>
      <c r="F22" s="10">
        <v>1.2999999999999999E-3</v>
      </c>
      <c r="G22" s="10">
        <v>8.0000000000000004E-4</v>
      </c>
      <c r="H22" s="10">
        <v>0.33629999999999999</v>
      </c>
      <c r="I22" t="str">
        <f t="shared" si="0"/>
        <v>v</v>
      </c>
      <c r="J22" t="str">
        <f t="shared" si="1"/>
        <v/>
      </c>
      <c r="K22" t="str">
        <f t="shared" si="2"/>
        <v/>
      </c>
      <c r="L22" t="str">
        <f t="shared" si="3"/>
        <v>qg</v>
      </c>
    </row>
    <row r="23" spans="1:12" x14ac:dyDescent="0.2">
      <c r="A23" s="10">
        <v>21</v>
      </c>
      <c r="B23" s="10" t="s">
        <v>101</v>
      </c>
      <c r="C23" s="10">
        <v>1204</v>
      </c>
      <c r="D23" s="10">
        <v>0</v>
      </c>
      <c r="E23" s="10">
        <v>5.9999999999999995E-4</v>
      </c>
      <c r="F23" s="10">
        <v>1.8E-3</v>
      </c>
      <c r="G23" s="10">
        <v>8.0000000000000004E-4</v>
      </c>
      <c r="H23" s="10">
        <v>0.33479999999999999</v>
      </c>
      <c r="I23" t="str">
        <f t="shared" si="0"/>
        <v>v</v>
      </c>
      <c r="J23" t="str">
        <f t="shared" si="1"/>
        <v>v</v>
      </c>
      <c r="K23" t="str">
        <f t="shared" si="2"/>
        <v/>
      </c>
      <c r="L23" t="str">
        <f t="shared" si="3"/>
        <v>qg</v>
      </c>
    </row>
    <row r="24" spans="1:12" x14ac:dyDescent="0.2">
      <c r="A24" s="10">
        <v>22</v>
      </c>
      <c r="B24" s="10" t="s">
        <v>102</v>
      </c>
      <c r="C24" s="10">
        <v>4891</v>
      </c>
      <c r="D24" s="10">
        <v>2.9999999999999997E-4</v>
      </c>
      <c r="E24" s="10">
        <v>4.3E-3</v>
      </c>
      <c r="F24" s="10">
        <v>1.01E-2</v>
      </c>
      <c r="G24" s="10">
        <v>4.7999999999999996E-3</v>
      </c>
      <c r="H24" s="10">
        <v>0.22700000000000001</v>
      </c>
      <c r="I24" t="str">
        <f t="shared" si="0"/>
        <v>v</v>
      </c>
      <c r="J24" t="str">
        <f t="shared" si="1"/>
        <v/>
      </c>
      <c r="K24" t="str">
        <f t="shared" si="2"/>
        <v>v</v>
      </c>
      <c r="L24" t="str">
        <f t="shared" si="3"/>
        <v>ae-qg</v>
      </c>
    </row>
    <row r="25" spans="1:12" x14ac:dyDescent="0.2">
      <c r="A25" s="10">
        <v>23</v>
      </c>
      <c r="B25" s="10" t="s">
        <v>184</v>
      </c>
      <c r="C25" s="10">
        <v>1204</v>
      </c>
      <c r="D25" s="10">
        <v>0</v>
      </c>
      <c r="E25" s="10">
        <v>2.9999999999999997E-4</v>
      </c>
      <c r="F25" s="10">
        <v>4.0000000000000002E-4</v>
      </c>
      <c r="G25" s="10">
        <v>2.9999999999999997E-4</v>
      </c>
      <c r="H25" s="10">
        <v>0.3327</v>
      </c>
      <c r="I25" t="str">
        <f t="shared" si="0"/>
        <v/>
      </c>
      <c r="J25" t="str">
        <f t="shared" si="1"/>
        <v/>
      </c>
      <c r="K25" t="str">
        <f t="shared" si="2"/>
        <v>v</v>
      </c>
      <c r="L25" t="str">
        <f t="shared" si="3"/>
        <v>ae-qg</v>
      </c>
    </row>
    <row r="26" spans="1:12" x14ac:dyDescent="0.2">
      <c r="A26" s="10">
        <v>24</v>
      </c>
      <c r="B26" s="10" t="s">
        <v>103</v>
      </c>
      <c r="C26" s="10">
        <v>4859</v>
      </c>
      <c r="D26" s="10">
        <v>5.0000000000000001E-4</v>
      </c>
      <c r="E26" s="10">
        <v>4.4999999999999997E-3</v>
      </c>
      <c r="F26" s="10">
        <v>1.1299999999999999E-2</v>
      </c>
      <c r="G26" s="10">
        <v>5.1000000000000004E-3</v>
      </c>
      <c r="H26" s="10">
        <v>0.23169999999999999</v>
      </c>
      <c r="I26" t="str">
        <f t="shared" si="0"/>
        <v/>
      </c>
      <c r="J26" t="str">
        <f t="shared" si="1"/>
        <v/>
      </c>
      <c r="K26" t="str">
        <f t="shared" si="2"/>
        <v>v</v>
      </c>
      <c r="L26" t="str">
        <f t="shared" si="3"/>
        <v>ae-qg</v>
      </c>
    </row>
    <row r="27" spans="1:12" x14ac:dyDescent="0.2">
      <c r="A27" s="10">
        <v>25</v>
      </c>
      <c r="B27" s="10" t="s">
        <v>104</v>
      </c>
      <c r="C27" s="10">
        <v>4827</v>
      </c>
      <c r="D27" s="10">
        <v>2.0000000000000001E-4</v>
      </c>
      <c r="E27" s="10">
        <v>4.1000000000000003E-3</v>
      </c>
      <c r="F27" s="10">
        <v>1.0800000000000001E-2</v>
      </c>
      <c r="G27" s="10">
        <v>4.7000000000000002E-3</v>
      </c>
      <c r="H27" s="10">
        <v>0.23300000000000001</v>
      </c>
      <c r="I27" t="str">
        <f t="shared" si="0"/>
        <v/>
      </c>
      <c r="J27" t="str">
        <f t="shared" si="1"/>
        <v/>
      </c>
      <c r="K27" t="str">
        <f t="shared" si="2"/>
        <v>v</v>
      </c>
      <c r="L27" t="str">
        <f t="shared" si="3"/>
        <v>ae-qg</v>
      </c>
    </row>
    <row r="28" spans="1:12" x14ac:dyDescent="0.2">
      <c r="A28" s="10">
        <v>26</v>
      </c>
      <c r="B28" s="10" t="s">
        <v>105</v>
      </c>
      <c r="C28" s="10">
        <v>4937</v>
      </c>
      <c r="D28" s="10">
        <v>2.0000000000000001E-4</v>
      </c>
      <c r="E28" s="10">
        <v>4.4000000000000003E-3</v>
      </c>
      <c r="F28" s="10">
        <v>1.23E-2</v>
      </c>
      <c r="G28" s="10">
        <v>5.1999999999999998E-3</v>
      </c>
      <c r="H28" s="10">
        <v>0.22359999999999999</v>
      </c>
      <c r="I28" t="str">
        <f t="shared" si="0"/>
        <v/>
      </c>
      <c r="J28" t="str">
        <f t="shared" si="1"/>
        <v/>
      </c>
      <c r="K28" t="str">
        <f t="shared" si="2"/>
        <v>v</v>
      </c>
      <c r="L28" t="str">
        <f t="shared" si="3"/>
        <v>ae-qg</v>
      </c>
    </row>
    <row r="29" spans="1:12" x14ac:dyDescent="0.2">
      <c r="A29" s="10">
        <v>27</v>
      </c>
      <c r="B29" s="10" t="s">
        <v>106</v>
      </c>
      <c r="C29" s="10">
        <v>2561</v>
      </c>
      <c r="D29" s="10">
        <v>2.9999999999999997E-4</v>
      </c>
      <c r="E29" s="10">
        <v>2.2000000000000001E-3</v>
      </c>
      <c r="F29" s="10">
        <v>4.3E-3</v>
      </c>
      <c r="G29" s="10">
        <v>2.3999999999999998E-3</v>
      </c>
      <c r="H29" s="10">
        <v>0.30709999999999998</v>
      </c>
      <c r="I29" t="str">
        <f t="shared" si="0"/>
        <v/>
      </c>
      <c r="J29" t="str">
        <f t="shared" si="1"/>
        <v/>
      </c>
      <c r="K29" t="str">
        <f t="shared" si="2"/>
        <v>v</v>
      </c>
      <c r="L29" t="str">
        <f t="shared" si="3"/>
        <v>ae-qg</v>
      </c>
    </row>
    <row r="30" spans="1:12" x14ac:dyDescent="0.2">
      <c r="A30" s="10">
        <v>28</v>
      </c>
      <c r="B30" s="10" t="s">
        <v>107</v>
      </c>
      <c r="C30" s="10">
        <v>2685</v>
      </c>
      <c r="D30" s="10">
        <v>2.0000000000000001E-4</v>
      </c>
      <c r="E30" s="10">
        <v>2.5999999999999999E-3</v>
      </c>
      <c r="F30" s="10">
        <v>4.7999999999999996E-3</v>
      </c>
      <c r="G30" s="10">
        <v>2.7000000000000001E-3</v>
      </c>
      <c r="H30" s="10">
        <v>0.30549999999999999</v>
      </c>
      <c r="I30" t="str">
        <f t="shared" si="0"/>
        <v/>
      </c>
      <c r="J30" t="str">
        <f t="shared" si="1"/>
        <v/>
      </c>
      <c r="K30" t="str">
        <f t="shared" si="2"/>
        <v>v</v>
      </c>
      <c r="L30" t="str">
        <f t="shared" si="3"/>
        <v>ae-qg</v>
      </c>
    </row>
    <row r="31" spans="1:12" x14ac:dyDescent="0.2">
      <c r="A31" s="10">
        <v>29</v>
      </c>
      <c r="B31" s="10" t="s">
        <v>108</v>
      </c>
      <c r="C31" s="10">
        <v>2451</v>
      </c>
      <c r="D31" s="10">
        <v>1E-3</v>
      </c>
      <c r="E31" s="10">
        <v>3.0000000000000001E-3</v>
      </c>
      <c r="F31" s="10">
        <v>5.4999999999999997E-3</v>
      </c>
      <c r="G31" s="10">
        <v>3.3999999999999998E-3</v>
      </c>
      <c r="H31" s="10">
        <v>0.3115</v>
      </c>
      <c r="I31" t="str">
        <f t="shared" si="0"/>
        <v/>
      </c>
      <c r="J31" t="str">
        <f t="shared" si="1"/>
        <v/>
      </c>
      <c r="K31" t="str">
        <f t="shared" si="2"/>
        <v>v</v>
      </c>
      <c r="L31" t="str">
        <f t="shared" si="3"/>
        <v>ae-qg</v>
      </c>
    </row>
    <row r="32" spans="1:12" x14ac:dyDescent="0.2">
      <c r="A32" s="10">
        <v>30</v>
      </c>
      <c r="B32" s="10" t="s">
        <v>109</v>
      </c>
      <c r="C32" s="10">
        <v>514</v>
      </c>
      <c r="D32" s="10">
        <v>0.30740000000000001</v>
      </c>
      <c r="E32" s="10">
        <v>0.43030000000000002</v>
      </c>
      <c r="F32" s="10">
        <v>0.45629999999999998</v>
      </c>
      <c r="G32" s="10">
        <v>0.41510000000000002</v>
      </c>
      <c r="H32" s="10">
        <v>0.62780000000000002</v>
      </c>
      <c r="I32" t="str">
        <f t="shared" si="0"/>
        <v/>
      </c>
      <c r="J32" t="str">
        <f t="shared" si="1"/>
        <v/>
      </c>
      <c r="K32" t="str">
        <f t="shared" si="2"/>
        <v/>
      </c>
      <c r="L32" t="str">
        <f t="shared" si="3"/>
        <v>ae</v>
      </c>
    </row>
    <row r="33" spans="1:12" x14ac:dyDescent="0.2">
      <c r="A33" s="10">
        <v>31</v>
      </c>
      <c r="B33" s="10" t="s">
        <v>110</v>
      </c>
      <c r="C33" s="10">
        <v>514</v>
      </c>
      <c r="D33" s="10">
        <v>0.31519999999999998</v>
      </c>
      <c r="E33" s="10">
        <v>0.42270000000000002</v>
      </c>
      <c r="F33" s="10">
        <v>0.44900000000000001</v>
      </c>
      <c r="G33" s="10">
        <v>0.40610000000000002</v>
      </c>
      <c r="H33" s="10">
        <v>0.63139999999999996</v>
      </c>
      <c r="I33" t="str">
        <f t="shared" si="0"/>
        <v>v</v>
      </c>
      <c r="J33" t="str">
        <f t="shared" si="1"/>
        <v/>
      </c>
      <c r="K33" t="str">
        <f t="shared" si="2"/>
        <v/>
      </c>
      <c r="L33" t="str">
        <f t="shared" si="3"/>
        <v>ae</v>
      </c>
    </row>
    <row r="34" spans="1:12" x14ac:dyDescent="0.2">
      <c r="A34" s="10">
        <v>32</v>
      </c>
      <c r="B34" s="10" t="s">
        <v>111</v>
      </c>
      <c r="C34" s="10">
        <v>514</v>
      </c>
      <c r="D34" s="10">
        <v>0.20430000000000001</v>
      </c>
      <c r="E34" s="10">
        <v>0.31409999999999999</v>
      </c>
      <c r="F34" s="10">
        <v>0.35489999999999999</v>
      </c>
      <c r="G34" s="10">
        <v>0.30859999999999999</v>
      </c>
      <c r="H34" s="10">
        <v>0.5575</v>
      </c>
      <c r="I34" t="str">
        <f t="shared" si="0"/>
        <v/>
      </c>
      <c r="J34" t="str">
        <f t="shared" ref="J34:J53" si="4">IF(ISNUMBER(FIND("yesprepend", B34)), "v", "")</f>
        <v/>
      </c>
      <c r="K34" t="str">
        <f t="shared" ref="K34:K53" si="5">IF(ISNUMBER(FIND("-ae-", B34)), "", IF(ISNUMBER(FIND("-qg-", B34)), "", "v"))</f>
        <v>v</v>
      </c>
      <c r="L34" t="str">
        <f t="shared" ref="L34:L53" si="6">IF(ISNUMBER(FIND("-ae-", B34)), "ae", IF(ISNUMBER(FIND("-qg-", B34)), "qg", "ae-qg"))</f>
        <v>ae-qg</v>
      </c>
    </row>
    <row r="35" spans="1:12" x14ac:dyDescent="0.2">
      <c r="A35" s="10">
        <v>33</v>
      </c>
      <c r="B35" s="10" t="s">
        <v>112</v>
      </c>
      <c r="C35" s="10">
        <v>514</v>
      </c>
      <c r="D35" s="10">
        <v>0</v>
      </c>
      <c r="E35" s="10">
        <v>6.3200000000000006E-2</v>
      </c>
      <c r="F35" s="10">
        <v>8.9800000000000005E-2</v>
      </c>
      <c r="G35" s="10">
        <v>6.2100000000000002E-2</v>
      </c>
      <c r="H35" s="10">
        <v>0.38080000000000003</v>
      </c>
      <c r="I35" t="str">
        <f t="shared" si="0"/>
        <v/>
      </c>
      <c r="J35" t="str">
        <f t="shared" si="4"/>
        <v/>
      </c>
      <c r="K35" t="str">
        <f t="shared" si="5"/>
        <v/>
      </c>
      <c r="L35" t="str">
        <f t="shared" si="6"/>
        <v>qg</v>
      </c>
    </row>
    <row r="36" spans="1:12" x14ac:dyDescent="0.2">
      <c r="A36" s="10">
        <v>34</v>
      </c>
      <c r="B36" s="10" t="s">
        <v>113</v>
      </c>
      <c r="C36" s="10">
        <v>514</v>
      </c>
      <c r="D36" s="10">
        <v>0</v>
      </c>
      <c r="E36" s="10">
        <v>6.3100000000000003E-2</v>
      </c>
      <c r="F36" s="10">
        <v>9.0300000000000005E-2</v>
      </c>
      <c r="G36" s="10">
        <v>6.0900000000000003E-2</v>
      </c>
      <c r="H36" s="10">
        <v>0.374</v>
      </c>
      <c r="I36" t="str">
        <f t="shared" si="0"/>
        <v>v</v>
      </c>
      <c r="J36" t="str">
        <f t="shared" si="4"/>
        <v/>
      </c>
      <c r="K36" t="str">
        <f t="shared" si="5"/>
        <v/>
      </c>
      <c r="L36" t="str">
        <f t="shared" si="6"/>
        <v>qg</v>
      </c>
    </row>
    <row r="37" spans="1:12" x14ac:dyDescent="0.2">
      <c r="A37" s="10">
        <v>35</v>
      </c>
      <c r="B37" s="10" t="s">
        <v>93</v>
      </c>
      <c r="C37" s="10">
        <v>514</v>
      </c>
      <c r="D37" s="10">
        <v>0</v>
      </c>
      <c r="E37" s="10">
        <v>5.0700000000000002E-2</v>
      </c>
      <c r="F37" s="10">
        <v>5.8599999999999999E-2</v>
      </c>
      <c r="G37" s="10">
        <v>4.4600000000000001E-2</v>
      </c>
      <c r="H37" s="10">
        <v>0.36609999999999998</v>
      </c>
      <c r="I37" t="str">
        <f t="shared" si="0"/>
        <v>v</v>
      </c>
      <c r="J37" t="str">
        <f t="shared" si="4"/>
        <v>v</v>
      </c>
      <c r="K37" t="str">
        <f t="shared" si="5"/>
        <v/>
      </c>
      <c r="L37" t="str">
        <f t="shared" si="6"/>
        <v>qg</v>
      </c>
    </row>
    <row r="38" spans="1:12" x14ac:dyDescent="0.2">
      <c r="A38" s="10">
        <v>36</v>
      </c>
      <c r="B38" s="10" t="s">
        <v>114</v>
      </c>
      <c r="C38" s="10">
        <v>514</v>
      </c>
      <c r="D38" s="10">
        <v>0.28989999999999999</v>
      </c>
      <c r="E38" s="10">
        <v>0.42709999999999998</v>
      </c>
      <c r="F38" s="10">
        <v>0.44429999999999997</v>
      </c>
      <c r="G38" s="10">
        <v>0.41049999999999998</v>
      </c>
      <c r="H38" s="10">
        <v>0.63270000000000004</v>
      </c>
      <c r="I38" t="str">
        <f t="shared" si="0"/>
        <v>v</v>
      </c>
      <c r="J38" t="str">
        <f t="shared" si="4"/>
        <v/>
      </c>
      <c r="K38" t="str">
        <f t="shared" si="5"/>
        <v>v</v>
      </c>
      <c r="L38" t="str">
        <f t="shared" si="6"/>
        <v>ae-qg</v>
      </c>
    </row>
    <row r="39" spans="1:12" x14ac:dyDescent="0.2">
      <c r="A39" s="10">
        <v>37</v>
      </c>
      <c r="B39" s="10" t="s">
        <v>185</v>
      </c>
      <c r="C39" s="10">
        <v>514</v>
      </c>
      <c r="D39" s="10">
        <v>0</v>
      </c>
      <c r="E39" s="10">
        <v>2.87E-2</v>
      </c>
      <c r="F39" s="10">
        <v>3.04E-2</v>
      </c>
      <c r="G39" s="10">
        <v>2.23E-2</v>
      </c>
      <c r="H39" s="10">
        <v>0.1623</v>
      </c>
      <c r="I39" t="str">
        <f t="shared" si="0"/>
        <v/>
      </c>
      <c r="J39" t="str">
        <f t="shared" si="4"/>
        <v/>
      </c>
      <c r="K39" t="str">
        <f t="shared" si="5"/>
        <v>v</v>
      </c>
      <c r="L39" t="str">
        <f t="shared" si="6"/>
        <v>ae-qg</v>
      </c>
    </row>
    <row r="40" spans="1:12" x14ac:dyDescent="0.2">
      <c r="A40" s="10">
        <v>38</v>
      </c>
      <c r="B40" s="10" t="s">
        <v>66</v>
      </c>
      <c r="C40" s="10">
        <v>514</v>
      </c>
      <c r="D40" s="10">
        <v>0.32100000000000001</v>
      </c>
      <c r="E40" s="10">
        <v>0.4471</v>
      </c>
      <c r="F40" s="10">
        <v>0.46829999999999999</v>
      </c>
      <c r="G40" s="10">
        <v>0.43130000000000002</v>
      </c>
      <c r="H40" s="10">
        <v>0.64570000000000005</v>
      </c>
      <c r="I40" t="str">
        <f t="shared" si="0"/>
        <v/>
      </c>
      <c r="J40" t="str">
        <f t="shared" si="4"/>
        <v/>
      </c>
      <c r="K40" t="str">
        <f t="shared" si="5"/>
        <v>v</v>
      </c>
      <c r="L40" t="str">
        <f t="shared" si="6"/>
        <v>ae-qg</v>
      </c>
    </row>
    <row r="41" spans="1:12" x14ac:dyDescent="0.2">
      <c r="A41" s="10">
        <v>39</v>
      </c>
      <c r="B41" s="10" t="s">
        <v>67</v>
      </c>
      <c r="C41" s="10">
        <v>514</v>
      </c>
      <c r="D41" s="10">
        <v>0.29959999999999998</v>
      </c>
      <c r="E41" s="10">
        <v>0.42280000000000001</v>
      </c>
      <c r="F41" s="10">
        <v>0.44209999999999999</v>
      </c>
      <c r="G41" s="10">
        <v>0.40489999999999998</v>
      </c>
      <c r="H41" s="10">
        <v>0.62190000000000001</v>
      </c>
      <c r="I41" t="str">
        <f t="shared" si="0"/>
        <v/>
      </c>
      <c r="J41" t="str">
        <f t="shared" si="4"/>
        <v/>
      </c>
      <c r="K41" t="str">
        <f t="shared" si="5"/>
        <v>v</v>
      </c>
      <c r="L41" t="str">
        <f t="shared" si="6"/>
        <v>ae-qg</v>
      </c>
    </row>
    <row r="42" spans="1:12" x14ac:dyDescent="0.2">
      <c r="A42" s="10">
        <v>40</v>
      </c>
      <c r="B42" s="10" t="s">
        <v>68</v>
      </c>
      <c r="C42" s="10">
        <v>514</v>
      </c>
      <c r="D42" s="10">
        <v>0.2918</v>
      </c>
      <c r="E42" s="10">
        <v>0.42970000000000003</v>
      </c>
      <c r="F42" s="10">
        <v>0.4501</v>
      </c>
      <c r="G42" s="10">
        <v>0.40760000000000002</v>
      </c>
      <c r="H42" s="10">
        <v>0.63370000000000004</v>
      </c>
      <c r="I42" t="str">
        <f t="shared" si="0"/>
        <v/>
      </c>
      <c r="J42" t="str">
        <f t="shared" si="4"/>
        <v/>
      </c>
      <c r="K42" t="str">
        <f t="shared" si="5"/>
        <v>v</v>
      </c>
      <c r="L42" t="str">
        <f t="shared" si="6"/>
        <v>ae-qg</v>
      </c>
    </row>
    <row r="43" spans="1:12" x14ac:dyDescent="0.2">
      <c r="A43" s="10">
        <v>41</v>
      </c>
      <c r="B43" s="10" t="s">
        <v>69</v>
      </c>
      <c r="C43" s="10">
        <v>514</v>
      </c>
      <c r="D43" s="10">
        <v>0.19070000000000001</v>
      </c>
      <c r="E43" s="10">
        <v>0.30130000000000001</v>
      </c>
      <c r="F43" s="10">
        <v>0.39179999999999998</v>
      </c>
      <c r="G43" s="10">
        <v>0.30559999999999998</v>
      </c>
      <c r="H43" s="10">
        <v>0.54330000000000001</v>
      </c>
      <c r="I43" t="str">
        <f t="shared" si="0"/>
        <v/>
      </c>
      <c r="J43" t="str">
        <f t="shared" si="4"/>
        <v/>
      </c>
      <c r="K43" t="str">
        <f t="shared" si="5"/>
        <v>v</v>
      </c>
      <c r="L43" t="str">
        <f t="shared" si="6"/>
        <v>ae-qg</v>
      </c>
    </row>
    <row r="44" spans="1:12" x14ac:dyDescent="0.2">
      <c r="A44" s="10">
        <v>42</v>
      </c>
      <c r="B44" s="10" t="s">
        <v>70</v>
      </c>
      <c r="C44" s="10">
        <v>514</v>
      </c>
      <c r="D44" s="10">
        <v>0.2218</v>
      </c>
      <c r="E44" s="10">
        <v>0.3372</v>
      </c>
      <c r="F44" s="10">
        <v>0.40610000000000002</v>
      </c>
      <c r="G44" s="10">
        <v>0.33689999999999998</v>
      </c>
      <c r="H44" s="10">
        <v>0.56269999999999998</v>
      </c>
      <c r="I44" t="str">
        <f t="shared" si="0"/>
        <v/>
      </c>
      <c r="J44" t="str">
        <f t="shared" si="4"/>
        <v/>
      </c>
      <c r="K44" t="str">
        <f t="shared" si="5"/>
        <v>v</v>
      </c>
      <c r="L44" t="str">
        <f t="shared" si="6"/>
        <v>ae-qg</v>
      </c>
    </row>
    <row r="45" spans="1:12" x14ac:dyDescent="0.2">
      <c r="A45" s="10">
        <v>43</v>
      </c>
      <c r="B45" s="10" t="s">
        <v>71</v>
      </c>
      <c r="C45" s="10">
        <v>514</v>
      </c>
      <c r="D45" s="10">
        <v>0.23150000000000001</v>
      </c>
      <c r="E45" s="10">
        <v>0.33050000000000002</v>
      </c>
      <c r="F45" s="10">
        <v>0.35239999999999999</v>
      </c>
      <c r="G45" s="10">
        <v>0.31680000000000003</v>
      </c>
      <c r="H45" s="10">
        <v>0.55940000000000001</v>
      </c>
      <c r="I45" t="str">
        <f t="shared" si="0"/>
        <v/>
      </c>
      <c r="J45" t="str">
        <f t="shared" si="4"/>
        <v/>
      </c>
      <c r="K45" t="str">
        <f t="shared" si="5"/>
        <v>v</v>
      </c>
      <c r="L45" t="str">
        <f t="shared" si="6"/>
        <v>ae-qg</v>
      </c>
    </row>
    <row r="46" spans="1:12" x14ac:dyDescent="0.2">
      <c r="A46" s="10">
        <v>44</v>
      </c>
      <c r="B46" s="10" t="s">
        <v>95</v>
      </c>
      <c r="C46" s="10">
        <v>514</v>
      </c>
      <c r="D46" s="10">
        <v>0.30740000000000001</v>
      </c>
      <c r="E46" s="10">
        <v>0.43030000000000002</v>
      </c>
      <c r="F46" s="10">
        <v>0.45629999999999998</v>
      </c>
      <c r="G46" s="10">
        <v>0.41510000000000002</v>
      </c>
      <c r="H46" s="10">
        <v>0.62780000000000002</v>
      </c>
      <c r="I46" t="str">
        <f t="shared" si="0"/>
        <v/>
      </c>
      <c r="J46" t="str">
        <f t="shared" si="4"/>
        <v/>
      </c>
      <c r="K46" t="str">
        <f t="shared" si="5"/>
        <v/>
      </c>
      <c r="L46" t="str">
        <f t="shared" si="6"/>
        <v>ae</v>
      </c>
    </row>
    <row r="47" spans="1:12" x14ac:dyDescent="0.2">
      <c r="A47" s="10">
        <v>45</v>
      </c>
      <c r="B47" s="10" t="s">
        <v>96</v>
      </c>
      <c r="C47" s="10">
        <v>514</v>
      </c>
      <c r="D47" s="10">
        <v>0.31519999999999998</v>
      </c>
      <c r="E47" s="10">
        <v>0.42270000000000002</v>
      </c>
      <c r="F47" s="10">
        <v>0.44900000000000001</v>
      </c>
      <c r="G47" s="10">
        <v>0.40610000000000002</v>
      </c>
      <c r="H47" s="10">
        <v>0.63139999999999996</v>
      </c>
      <c r="I47" t="str">
        <f t="shared" si="0"/>
        <v>v</v>
      </c>
      <c r="J47" t="str">
        <f t="shared" si="4"/>
        <v/>
      </c>
      <c r="K47" t="str">
        <f t="shared" si="5"/>
        <v/>
      </c>
      <c r="L47" t="str">
        <f t="shared" si="6"/>
        <v>ae</v>
      </c>
    </row>
    <row r="48" spans="1:12" x14ac:dyDescent="0.2">
      <c r="A48" s="10">
        <v>46</v>
      </c>
      <c r="B48" s="10" t="s">
        <v>115</v>
      </c>
      <c r="C48" s="10">
        <v>514</v>
      </c>
      <c r="D48" s="10">
        <v>0.20430000000000001</v>
      </c>
      <c r="E48" s="10">
        <v>0.31409999999999999</v>
      </c>
      <c r="F48" s="10">
        <v>0.35489999999999999</v>
      </c>
      <c r="G48" s="10">
        <v>0.30859999999999999</v>
      </c>
      <c r="H48" s="10">
        <v>0.5575</v>
      </c>
      <c r="I48" t="str">
        <f t="shared" si="0"/>
        <v/>
      </c>
      <c r="J48" t="str">
        <f t="shared" si="4"/>
        <v/>
      </c>
      <c r="K48" t="str">
        <f t="shared" si="5"/>
        <v>v</v>
      </c>
      <c r="L48" t="str">
        <f t="shared" si="6"/>
        <v>ae-qg</v>
      </c>
    </row>
    <row r="49" spans="1:12" x14ac:dyDescent="0.2">
      <c r="A49" s="10">
        <v>47</v>
      </c>
      <c r="B49" s="10" t="s">
        <v>99</v>
      </c>
      <c r="C49" s="10">
        <v>514</v>
      </c>
      <c r="D49" s="10">
        <v>0</v>
      </c>
      <c r="E49" s="10">
        <v>6.3200000000000006E-2</v>
      </c>
      <c r="F49" s="10">
        <v>8.9800000000000005E-2</v>
      </c>
      <c r="G49" s="10">
        <v>6.2100000000000002E-2</v>
      </c>
      <c r="H49" s="10">
        <v>0.38080000000000003</v>
      </c>
      <c r="I49" t="str">
        <f t="shared" si="0"/>
        <v/>
      </c>
      <c r="J49" t="str">
        <f t="shared" si="4"/>
        <v/>
      </c>
      <c r="K49" t="str">
        <f t="shared" si="5"/>
        <v/>
      </c>
      <c r="L49" t="str">
        <f t="shared" si="6"/>
        <v>qg</v>
      </c>
    </row>
    <row r="50" spans="1:12" x14ac:dyDescent="0.2">
      <c r="A50" s="10">
        <v>48</v>
      </c>
      <c r="B50" s="10" t="s">
        <v>100</v>
      </c>
      <c r="C50" s="10">
        <v>514</v>
      </c>
      <c r="D50" s="10">
        <v>0</v>
      </c>
      <c r="E50" s="10">
        <v>6.3100000000000003E-2</v>
      </c>
      <c r="F50" s="10">
        <v>9.0300000000000005E-2</v>
      </c>
      <c r="G50" s="10">
        <v>6.0900000000000003E-2</v>
      </c>
      <c r="H50" s="10">
        <v>0.374</v>
      </c>
      <c r="I50" t="str">
        <f t="shared" si="0"/>
        <v>v</v>
      </c>
      <c r="J50" t="str">
        <f t="shared" si="4"/>
        <v/>
      </c>
      <c r="K50" t="str">
        <f t="shared" si="5"/>
        <v/>
      </c>
      <c r="L50" t="str">
        <f t="shared" si="6"/>
        <v>qg</v>
      </c>
    </row>
    <row r="51" spans="1:12" x14ac:dyDescent="0.2">
      <c r="A51" s="10">
        <v>49</v>
      </c>
      <c r="B51" s="10" t="s">
        <v>101</v>
      </c>
      <c r="C51" s="10">
        <v>514</v>
      </c>
      <c r="D51" s="10">
        <v>0</v>
      </c>
      <c r="E51" s="10">
        <v>5.0700000000000002E-2</v>
      </c>
      <c r="F51" s="10">
        <v>5.8599999999999999E-2</v>
      </c>
      <c r="G51" s="10">
        <v>4.4600000000000001E-2</v>
      </c>
      <c r="H51" s="10">
        <v>0.36609999999999998</v>
      </c>
      <c r="I51" t="str">
        <f t="shared" si="0"/>
        <v>v</v>
      </c>
      <c r="J51" t="str">
        <f t="shared" si="4"/>
        <v>v</v>
      </c>
      <c r="K51" t="str">
        <f t="shared" si="5"/>
        <v/>
      </c>
      <c r="L51" t="str">
        <f t="shared" si="6"/>
        <v>qg</v>
      </c>
    </row>
    <row r="52" spans="1:12" x14ac:dyDescent="0.2">
      <c r="A52" s="10">
        <v>50</v>
      </c>
      <c r="B52" s="10" t="s">
        <v>116</v>
      </c>
      <c r="C52" s="10">
        <v>514</v>
      </c>
      <c r="D52" s="10">
        <v>0.28989999999999999</v>
      </c>
      <c r="E52" s="10">
        <v>0.42709999999999998</v>
      </c>
      <c r="F52" s="10">
        <v>0.44429999999999997</v>
      </c>
      <c r="G52" s="10">
        <v>0.41049999999999998</v>
      </c>
      <c r="H52" s="10">
        <v>0.63270000000000004</v>
      </c>
      <c r="I52" t="str">
        <f t="shared" si="0"/>
        <v>v</v>
      </c>
      <c r="J52" t="str">
        <f t="shared" si="4"/>
        <v/>
      </c>
      <c r="K52" t="str">
        <f t="shared" si="5"/>
        <v>v</v>
      </c>
      <c r="L52" t="str">
        <f t="shared" si="6"/>
        <v>ae-qg</v>
      </c>
    </row>
    <row r="53" spans="1:12" x14ac:dyDescent="0.2">
      <c r="A53" s="10">
        <v>51</v>
      </c>
      <c r="B53" s="10" t="s">
        <v>186</v>
      </c>
      <c r="C53" s="10">
        <v>514</v>
      </c>
      <c r="D53" s="10">
        <v>0</v>
      </c>
      <c r="E53" s="10">
        <v>2.87E-2</v>
      </c>
      <c r="F53" s="10">
        <v>3.04E-2</v>
      </c>
      <c r="G53" s="10">
        <v>2.23E-2</v>
      </c>
      <c r="H53" s="10">
        <v>0.1623</v>
      </c>
      <c r="I53" t="str">
        <f t="shared" si="0"/>
        <v/>
      </c>
      <c r="J53" t="str">
        <f t="shared" si="4"/>
        <v/>
      </c>
      <c r="K53" t="str">
        <f t="shared" si="5"/>
        <v>v</v>
      </c>
      <c r="L53" t="str">
        <f t="shared" si="6"/>
        <v>ae-qg</v>
      </c>
    </row>
    <row r="54" spans="1:12" x14ac:dyDescent="0.2">
      <c r="A54" s="10">
        <v>52</v>
      </c>
      <c r="B54" s="10" t="s">
        <v>117</v>
      </c>
      <c r="C54" s="10">
        <v>514</v>
      </c>
      <c r="D54" s="10">
        <v>0.32100000000000001</v>
      </c>
      <c r="E54" s="10">
        <v>0.4471</v>
      </c>
      <c r="F54" s="10">
        <v>0.46829999999999999</v>
      </c>
      <c r="G54" s="10">
        <v>0.43130000000000002</v>
      </c>
      <c r="H54" s="10">
        <v>0.64570000000000005</v>
      </c>
      <c r="I54" t="str">
        <f t="shared" si="0"/>
        <v/>
      </c>
      <c r="J54" t="str">
        <f t="shared" ref="J54:J56" si="7">IF(ISNUMBER(FIND("yesprepend", B54)), "v", "")</f>
        <v/>
      </c>
      <c r="K54" t="str">
        <f t="shared" ref="K54:K56" si="8">IF(ISNUMBER(FIND("-ae-", B54)), "", IF(ISNUMBER(FIND("-qg-", B54)), "", "v"))</f>
        <v>v</v>
      </c>
      <c r="L54" t="str">
        <f t="shared" ref="L54:L56" si="9">IF(ISNUMBER(FIND("-ae-", B54)), "ae", IF(ISNUMBER(FIND("-qg-", B54)), "qg", "ae-qg"))</f>
        <v>ae-qg</v>
      </c>
    </row>
    <row r="55" spans="1:12" x14ac:dyDescent="0.2">
      <c r="A55" s="10">
        <v>53</v>
      </c>
      <c r="B55" s="10" t="s">
        <v>118</v>
      </c>
      <c r="C55" s="10">
        <v>514</v>
      </c>
      <c r="D55" s="10">
        <v>0.29959999999999998</v>
      </c>
      <c r="E55" s="10">
        <v>0.42280000000000001</v>
      </c>
      <c r="F55" s="10">
        <v>0.44209999999999999</v>
      </c>
      <c r="G55" s="10">
        <v>0.40489999999999998</v>
      </c>
      <c r="H55" s="10">
        <v>0.62190000000000001</v>
      </c>
      <c r="I55" t="str">
        <f t="shared" si="0"/>
        <v/>
      </c>
      <c r="J55" t="str">
        <f t="shared" si="7"/>
        <v/>
      </c>
      <c r="K55" t="str">
        <f t="shared" si="8"/>
        <v>v</v>
      </c>
      <c r="L55" t="str">
        <f t="shared" si="9"/>
        <v>ae-qg</v>
      </c>
    </row>
    <row r="56" spans="1:12" x14ac:dyDescent="0.2">
      <c r="A56" s="10">
        <v>54</v>
      </c>
      <c r="B56" s="10" t="s">
        <v>119</v>
      </c>
      <c r="C56" s="10">
        <v>514</v>
      </c>
      <c r="D56" s="10">
        <v>0.2918</v>
      </c>
      <c r="E56" s="10">
        <v>0.42970000000000003</v>
      </c>
      <c r="F56" s="10">
        <v>0.4501</v>
      </c>
      <c r="G56" s="10">
        <v>0.40760000000000002</v>
      </c>
      <c r="H56" s="10">
        <v>0.63370000000000004</v>
      </c>
      <c r="I56" t="str">
        <f t="shared" si="0"/>
        <v/>
      </c>
      <c r="J56" t="str">
        <f t="shared" si="7"/>
        <v/>
      </c>
      <c r="K56" t="str">
        <f t="shared" si="8"/>
        <v>v</v>
      </c>
      <c r="L56" t="str">
        <f t="shared" si="9"/>
        <v>ae-qg</v>
      </c>
    </row>
    <row r="57" spans="1:12" x14ac:dyDescent="0.2">
      <c r="A57" s="10">
        <v>55</v>
      </c>
      <c r="B57" s="10" t="s">
        <v>120</v>
      </c>
      <c r="C57" s="10">
        <v>514</v>
      </c>
      <c r="D57" s="10">
        <v>0.19070000000000001</v>
      </c>
      <c r="E57" s="10">
        <v>0.30130000000000001</v>
      </c>
      <c r="F57" s="10">
        <v>0.39179999999999998</v>
      </c>
      <c r="G57" s="10">
        <v>0.30559999999999998</v>
      </c>
      <c r="H57" s="10">
        <v>0.54330000000000001</v>
      </c>
      <c r="I57" t="str">
        <f t="shared" ref="I57:I59" si="10">IF(ISNUMBER(FIND("yesprefix", B57)), "v", "")</f>
        <v/>
      </c>
      <c r="J57" t="str">
        <f t="shared" ref="J57:J59" si="11">IF(ISNUMBER(FIND("yesprepend", B57)), "v", "")</f>
        <v/>
      </c>
      <c r="K57" t="str">
        <f t="shared" ref="K57:K59" si="12">IF(ISNUMBER(FIND("-ae-", B57)), "", IF(ISNUMBER(FIND("-qg-", B57)), "", "v"))</f>
        <v>v</v>
      </c>
      <c r="L57" t="str">
        <f t="shared" ref="L57:L59" si="13">IF(ISNUMBER(FIND("-ae-", B57)), "ae", IF(ISNUMBER(FIND("-qg-", B57)), "qg", "ae-qg"))</f>
        <v>ae-qg</v>
      </c>
    </row>
    <row r="58" spans="1:12" x14ac:dyDescent="0.2">
      <c r="A58" s="10">
        <v>56</v>
      </c>
      <c r="B58" s="10" t="s">
        <v>121</v>
      </c>
      <c r="C58" s="10">
        <v>514</v>
      </c>
      <c r="D58" s="10">
        <v>0.2218</v>
      </c>
      <c r="E58" s="10">
        <v>0.3372</v>
      </c>
      <c r="F58" s="10">
        <v>0.40610000000000002</v>
      </c>
      <c r="G58" s="10">
        <v>0.33689999999999998</v>
      </c>
      <c r="H58" s="10">
        <v>0.56269999999999998</v>
      </c>
      <c r="I58" t="str">
        <f t="shared" si="10"/>
        <v/>
      </c>
      <c r="J58" t="str">
        <f t="shared" si="11"/>
        <v/>
      </c>
      <c r="K58" t="str">
        <f t="shared" si="12"/>
        <v>v</v>
      </c>
      <c r="L58" t="str">
        <f t="shared" si="13"/>
        <v>ae-qg</v>
      </c>
    </row>
    <row r="59" spans="1:12" x14ac:dyDescent="0.2">
      <c r="A59" s="10">
        <v>57</v>
      </c>
      <c r="B59" s="10" t="s">
        <v>122</v>
      </c>
      <c r="C59" s="10">
        <v>514</v>
      </c>
      <c r="D59" s="10">
        <v>0.23150000000000001</v>
      </c>
      <c r="E59" s="10">
        <v>0.33050000000000002</v>
      </c>
      <c r="F59" s="10">
        <v>0.35239999999999999</v>
      </c>
      <c r="G59" s="10">
        <v>0.31680000000000003</v>
      </c>
      <c r="H59" s="10">
        <v>0.55940000000000001</v>
      </c>
      <c r="I59" t="str">
        <f t="shared" si="10"/>
        <v/>
      </c>
      <c r="J59" t="str">
        <f t="shared" si="11"/>
        <v/>
      </c>
      <c r="K59" t="str">
        <f t="shared" si="12"/>
        <v>v</v>
      </c>
      <c r="L59" t="str">
        <f t="shared" si="13"/>
        <v>ae-qg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5510E-BEE1-9A4B-B900-9DF160BA1FC6}">
  <sheetPr>
    <pageSetUpPr fitToPage="1"/>
  </sheetPr>
  <dimension ref="A1:T138"/>
  <sheetViews>
    <sheetView tabSelected="1" zoomScale="67" zoomScaleNormal="60" workbookViewId="0">
      <selection activeCell="P26" sqref="P26"/>
    </sheetView>
  </sheetViews>
  <sheetFormatPr baseColWidth="10" defaultRowHeight="16" x14ac:dyDescent="0.2"/>
  <cols>
    <col min="4" max="4" width="18.6640625" bestFit="1" customWidth="1"/>
    <col min="5" max="5" width="12.33203125" style="13" bestFit="1" customWidth="1"/>
    <col min="6" max="6" width="11.6640625" style="13" bestFit="1" customWidth="1"/>
    <col min="7" max="7" width="13.33203125" style="13" bestFit="1" customWidth="1"/>
    <col min="8" max="8" width="14.6640625" style="13" bestFit="1" customWidth="1"/>
    <col min="9" max="9" width="15.1640625" bestFit="1" customWidth="1"/>
    <col min="10" max="10" width="15.1640625" customWidth="1"/>
    <col min="11" max="11" width="16.83203125" customWidth="1"/>
    <col min="12" max="12" width="11.6640625" style="13" bestFit="1" customWidth="1"/>
    <col min="13" max="13" width="20.5" customWidth="1"/>
  </cols>
  <sheetData>
    <row r="1" spans="1:13" x14ac:dyDescent="0.2">
      <c r="A1" s="14" t="s">
        <v>145</v>
      </c>
      <c r="B1" t="s">
        <v>125</v>
      </c>
      <c r="C1" t="s">
        <v>126</v>
      </c>
      <c r="D1" t="s">
        <v>127</v>
      </c>
      <c r="E1" s="13" t="s">
        <v>128</v>
      </c>
      <c r="F1" s="13" t="s">
        <v>129</v>
      </c>
      <c r="G1" s="13" t="s">
        <v>130</v>
      </c>
      <c r="H1" s="13" t="s">
        <v>131</v>
      </c>
      <c r="I1" t="s">
        <v>123</v>
      </c>
      <c r="J1" t="s">
        <v>147</v>
      </c>
      <c r="K1" t="s">
        <v>148</v>
      </c>
      <c r="L1" s="13" t="s">
        <v>146</v>
      </c>
      <c r="M1" t="s">
        <v>149</v>
      </c>
    </row>
    <row r="2" spans="1:13" x14ac:dyDescent="0.2">
      <c r="A2" s="14">
        <v>1</v>
      </c>
      <c r="B2" s="14" t="s">
        <v>32</v>
      </c>
      <c r="C2" s="14" t="s">
        <v>126</v>
      </c>
      <c r="D2" s="14" t="s">
        <v>132</v>
      </c>
      <c r="E2" s="15">
        <v>-0.15809325804732099</v>
      </c>
      <c r="F2" s="15">
        <v>0.30463357580787198</v>
      </c>
      <c r="G2" s="15">
        <v>-3.7578338448645519</v>
      </c>
      <c r="H2" s="16">
        <v>1.8923215680034959E-4</v>
      </c>
      <c r="I2" s="14" t="s">
        <v>124</v>
      </c>
      <c r="J2" s="14">
        <v>65</v>
      </c>
      <c r="K2" s="14">
        <f t="shared" ref="K2:K3" si="0">J2/96*0.05</f>
        <v>3.3854166666666671E-2</v>
      </c>
      <c r="L2" s="17">
        <f t="shared" ref="L2:L3" si="1">H2*96/J2</f>
        <v>2.7948133927436245E-4</v>
      </c>
      <c r="M2" s="14" t="str">
        <f t="shared" ref="M2:M3" si="2">IF(H2&lt;=K2, "significant", "non-significant")</f>
        <v>significant</v>
      </c>
    </row>
    <row r="3" spans="1:13" x14ac:dyDescent="0.2">
      <c r="A3" s="14">
        <v>2</v>
      </c>
      <c r="B3" s="14" t="s">
        <v>32</v>
      </c>
      <c r="C3" s="14" t="s">
        <v>126</v>
      </c>
      <c r="D3" s="14" t="s">
        <v>133</v>
      </c>
      <c r="E3" s="15">
        <v>0.13931656873499379</v>
      </c>
      <c r="F3" s="15">
        <v>0.33368813876465381</v>
      </c>
      <c r="G3" s="15">
        <v>3.3115170350025571</v>
      </c>
      <c r="H3" s="16">
        <v>9.8727054263464419E-4</v>
      </c>
      <c r="I3" s="14" t="s">
        <v>124</v>
      </c>
      <c r="J3" s="14">
        <v>68</v>
      </c>
      <c r="K3" s="14">
        <f t="shared" si="0"/>
        <v>3.5416666666666673E-2</v>
      </c>
      <c r="L3" s="17">
        <f t="shared" si="1"/>
        <v>1.3937937072489096E-3</v>
      </c>
      <c r="M3" s="14" t="str">
        <f t="shared" si="2"/>
        <v>significant</v>
      </c>
    </row>
    <row r="4" spans="1:13" x14ac:dyDescent="0.2">
      <c r="A4" s="14">
        <v>3</v>
      </c>
      <c r="B4" s="14" t="s">
        <v>32</v>
      </c>
      <c r="C4" s="14" t="s">
        <v>126</v>
      </c>
      <c r="D4" s="14" t="s">
        <v>134</v>
      </c>
      <c r="E4" s="21">
        <v>-0.1786454425296245</v>
      </c>
      <c r="F4" s="21">
        <v>0.30251584368998408</v>
      </c>
      <c r="G4" s="21">
        <v>-4.2463536931327361</v>
      </c>
      <c r="H4" s="21">
        <v>2.5409968244811981E-5</v>
      </c>
      <c r="I4" s="14" t="s">
        <v>124</v>
      </c>
      <c r="J4" s="14">
        <v>60</v>
      </c>
      <c r="K4" s="14">
        <f t="shared" ref="K4:K35" si="3">J4/96*0.05</f>
        <v>3.125E-2</v>
      </c>
      <c r="L4" s="21">
        <f t="shared" ref="L4:L35" si="4">H4*96/J4</f>
        <v>4.0655949191699174E-5</v>
      </c>
      <c r="M4" s="14" t="str">
        <f t="shared" ref="M4:M35" si="5">IF(H4&lt;=K4, "significant", "non-significant")</f>
        <v>significant</v>
      </c>
    </row>
    <row r="5" spans="1:13" x14ac:dyDescent="0.2">
      <c r="A5" s="14">
        <v>4</v>
      </c>
      <c r="B5" s="14" t="s">
        <v>32</v>
      </c>
      <c r="C5" s="14" t="s">
        <v>126</v>
      </c>
      <c r="D5" s="14" t="s">
        <v>135</v>
      </c>
      <c r="E5" s="15">
        <v>-5.4168537220226111E-2</v>
      </c>
      <c r="F5" s="15">
        <v>0.30981752080671698</v>
      </c>
      <c r="G5" s="15">
        <v>-1.287571430984374</v>
      </c>
      <c r="H5" s="16">
        <v>0.19842327247484459</v>
      </c>
      <c r="I5" s="14" t="s">
        <v>136</v>
      </c>
      <c r="J5" s="14">
        <v>86</v>
      </c>
      <c r="K5" s="14">
        <f t="shared" si="3"/>
        <v>4.4791666666666674E-2</v>
      </c>
      <c r="L5" s="17">
        <f t="shared" si="4"/>
        <v>0.22149574601843117</v>
      </c>
      <c r="M5" s="14" t="str">
        <f t="shared" si="5"/>
        <v>non-significant</v>
      </c>
    </row>
    <row r="6" spans="1:13" x14ac:dyDescent="0.2">
      <c r="A6" s="14">
        <v>5</v>
      </c>
      <c r="B6" s="14" t="s">
        <v>32</v>
      </c>
      <c r="C6" s="14" t="s">
        <v>126</v>
      </c>
      <c r="D6" s="14" t="s">
        <v>137</v>
      </c>
      <c r="E6" s="21">
        <v>-0.1313346568333689</v>
      </c>
      <c r="F6" s="21">
        <v>0.31107465135697021</v>
      </c>
      <c r="G6" s="21">
        <v>-3.121789155008615</v>
      </c>
      <c r="H6" s="21">
        <v>1.889627028056893E-3</v>
      </c>
      <c r="I6" s="14" t="s">
        <v>124</v>
      </c>
      <c r="J6" s="14">
        <v>69</v>
      </c>
      <c r="K6" s="14">
        <f t="shared" si="3"/>
        <v>3.5937500000000004E-2</v>
      </c>
      <c r="L6" s="21">
        <f t="shared" si="4"/>
        <v>2.6290462999052425E-3</v>
      </c>
      <c r="M6" s="14" t="str">
        <f t="shared" si="5"/>
        <v>significant</v>
      </c>
    </row>
    <row r="7" spans="1:13" x14ac:dyDescent="0.2">
      <c r="A7" s="14">
        <v>6</v>
      </c>
      <c r="B7" s="14" t="s">
        <v>32</v>
      </c>
      <c r="C7" s="14" t="s">
        <v>126</v>
      </c>
      <c r="D7" s="14" t="s">
        <v>138</v>
      </c>
      <c r="E7" s="15">
        <v>8.4646222594653518E-3</v>
      </c>
      <c r="F7" s="15">
        <v>0.33246135305342073</v>
      </c>
      <c r="G7" s="15">
        <v>0.2012017742153919</v>
      </c>
      <c r="H7" s="16">
        <v>0.840613344231255</v>
      </c>
      <c r="I7" s="14" t="s">
        <v>136</v>
      </c>
      <c r="J7" s="14">
        <v>96</v>
      </c>
      <c r="K7" s="14">
        <f t="shared" si="3"/>
        <v>0.05</v>
      </c>
      <c r="L7" s="17">
        <f t="shared" si="4"/>
        <v>0.840613344231255</v>
      </c>
      <c r="M7" s="14" t="str">
        <f t="shared" si="5"/>
        <v>non-significant</v>
      </c>
    </row>
    <row r="8" spans="1:13" x14ac:dyDescent="0.2">
      <c r="A8" s="14">
        <v>7</v>
      </c>
      <c r="B8" s="14" t="s">
        <v>33</v>
      </c>
      <c r="C8" s="14" t="s">
        <v>126</v>
      </c>
      <c r="D8" s="14" t="s">
        <v>132</v>
      </c>
      <c r="E8" s="15">
        <v>-0.18522422779795389</v>
      </c>
      <c r="F8" s="15">
        <v>0.29010535195806758</v>
      </c>
      <c r="G8" s="15">
        <v>-4.4027296337944488</v>
      </c>
      <c r="H8" s="16">
        <v>1.279045532444385E-5</v>
      </c>
      <c r="I8" s="14" t="s">
        <v>124</v>
      </c>
      <c r="J8" s="14">
        <v>59</v>
      </c>
      <c r="K8" s="14">
        <f t="shared" si="3"/>
        <v>3.0729166666666669E-2</v>
      </c>
      <c r="L8" s="17">
        <f t="shared" si="4"/>
        <v>2.0811588324518806E-5</v>
      </c>
      <c r="M8" s="14" t="str">
        <f t="shared" si="5"/>
        <v>significant</v>
      </c>
    </row>
    <row r="9" spans="1:13" x14ac:dyDescent="0.2">
      <c r="A9" s="14">
        <v>8</v>
      </c>
      <c r="B9" s="14" t="s">
        <v>33</v>
      </c>
      <c r="C9" s="14" t="s">
        <v>126</v>
      </c>
      <c r="D9" s="14" t="s">
        <v>133</v>
      </c>
      <c r="E9" s="15">
        <v>1.5261467079067229E-2</v>
      </c>
      <c r="F9" s="15">
        <v>0.31021246436230587</v>
      </c>
      <c r="G9" s="15">
        <v>0.36276093123995701</v>
      </c>
      <c r="H9" s="16">
        <v>0.71691938225788965</v>
      </c>
      <c r="I9" s="14" t="s">
        <v>136</v>
      </c>
      <c r="J9" s="14">
        <v>92</v>
      </c>
      <c r="K9" s="14">
        <f t="shared" si="3"/>
        <v>4.791666666666667E-2</v>
      </c>
      <c r="L9" s="17">
        <f t="shared" si="4"/>
        <v>0.74808979018214572</v>
      </c>
      <c r="M9" s="14" t="str">
        <f t="shared" si="5"/>
        <v>non-significant</v>
      </c>
    </row>
    <row r="10" spans="1:13" x14ac:dyDescent="0.2">
      <c r="A10" s="14">
        <v>9</v>
      </c>
      <c r="B10" s="14" t="s">
        <v>33</v>
      </c>
      <c r="C10" s="14" t="s">
        <v>126</v>
      </c>
      <c r="D10" s="14" t="s">
        <v>134</v>
      </c>
      <c r="E10" s="21">
        <v>-0.22577259398739161</v>
      </c>
      <c r="F10" s="21">
        <v>0.28511920639502042</v>
      </c>
      <c r="G10" s="21">
        <v>-5.3665532952375026</v>
      </c>
      <c r="H10" s="21">
        <v>1.173747573938153E-7</v>
      </c>
      <c r="I10" s="14" t="s">
        <v>124</v>
      </c>
      <c r="J10" s="14">
        <v>52</v>
      </c>
      <c r="K10" s="14">
        <f t="shared" si="3"/>
        <v>2.7083333333333334E-2</v>
      </c>
      <c r="L10" s="21">
        <f t="shared" si="4"/>
        <v>2.1669185980396671E-7</v>
      </c>
      <c r="M10" s="14" t="str">
        <f t="shared" si="5"/>
        <v>significant</v>
      </c>
    </row>
    <row r="11" spans="1:13" x14ac:dyDescent="0.2">
      <c r="A11" s="14">
        <v>10</v>
      </c>
      <c r="B11" s="14" t="s">
        <v>33</v>
      </c>
      <c r="C11" s="14" t="s">
        <v>126</v>
      </c>
      <c r="D11" s="14" t="s">
        <v>135</v>
      </c>
      <c r="E11" s="15">
        <v>-0.1241291610518572</v>
      </c>
      <c r="F11" s="15">
        <v>0.2858520825687707</v>
      </c>
      <c r="G11" s="15">
        <v>-2.950516475507706</v>
      </c>
      <c r="H11" s="16">
        <v>3.3041777841791111E-3</v>
      </c>
      <c r="I11" s="14" t="s">
        <v>124</v>
      </c>
      <c r="J11" s="14">
        <v>73</v>
      </c>
      <c r="K11" s="14">
        <f t="shared" si="3"/>
        <v>3.8020833333333337E-2</v>
      </c>
      <c r="L11" s="17">
        <f t="shared" si="4"/>
        <v>4.3452200997423926E-3</v>
      </c>
      <c r="M11" s="14" t="str">
        <f t="shared" si="5"/>
        <v>significant</v>
      </c>
    </row>
    <row r="12" spans="1:13" x14ac:dyDescent="0.2">
      <c r="A12" s="14">
        <v>11</v>
      </c>
      <c r="B12" s="14" t="s">
        <v>33</v>
      </c>
      <c r="C12" s="14" t="s">
        <v>126</v>
      </c>
      <c r="D12" s="14" t="s">
        <v>137</v>
      </c>
      <c r="E12" s="21">
        <v>-0.17288256156818799</v>
      </c>
      <c r="F12" s="21">
        <v>0.29514633265408741</v>
      </c>
      <c r="G12" s="21">
        <v>-4.1093715764486101</v>
      </c>
      <c r="H12" s="21">
        <v>4.5562220841131042E-5</v>
      </c>
      <c r="I12" s="14" t="s">
        <v>124</v>
      </c>
      <c r="J12" s="14">
        <v>61</v>
      </c>
      <c r="K12" s="14">
        <f t="shared" si="3"/>
        <v>3.1770833333333331E-2</v>
      </c>
      <c r="L12" s="21">
        <f t="shared" si="4"/>
        <v>7.1704478700796386E-5</v>
      </c>
      <c r="M12" s="14" t="str">
        <f t="shared" si="5"/>
        <v>significant</v>
      </c>
    </row>
    <row r="13" spans="1:13" x14ac:dyDescent="0.2">
      <c r="A13" s="14">
        <v>12</v>
      </c>
      <c r="B13" s="14" t="s">
        <v>33</v>
      </c>
      <c r="C13" s="14" t="s">
        <v>126</v>
      </c>
      <c r="D13" s="14" t="s">
        <v>138</v>
      </c>
      <c r="E13" s="15">
        <v>-7.3977157299340554E-2</v>
      </c>
      <c r="F13" s="15">
        <v>0.30286768473158099</v>
      </c>
      <c r="G13" s="15">
        <v>-1.758416955156435</v>
      </c>
      <c r="H13" s="16">
        <v>7.9218916703307565E-2</v>
      </c>
      <c r="I13" s="14" t="s">
        <v>136</v>
      </c>
      <c r="J13" s="14">
        <v>81</v>
      </c>
      <c r="K13" s="14">
        <f t="shared" si="3"/>
        <v>4.2187500000000003E-2</v>
      </c>
      <c r="L13" s="17">
        <f t="shared" si="4"/>
        <v>9.3889086463179339E-2</v>
      </c>
      <c r="M13" s="14" t="str">
        <f t="shared" si="5"/>
        <v>non-significant</v>
      </c>
    </row>
    <row r="14" spans="1:13" x14ac:dyDescent="0.2">
      <c r="A14" s="14">
        <v>13</v>
      </c>
      <c r="B14" s="14" t="s">
        <v>34</v>
      </c>
      <c r="C14" s="14" t="s">
        <v>126</v>
      </c>
      <c r="D14" s="14" t="s">
        <v>132</v>
      </c>
      <c r="E14" s="15">
        <v>-0.1285425400069117</v>
      </c>
      <c r="F14" s="15">
        <v>0.2616834012935973</v>
      </c>
      <c r="G14" s="15">
        <v>-3.0554212956901869</v>
      </c>
      <c r="H14" s="16">
        <v>2.3536889979682472E-3</v>
      </c>
      <c r="I14" s="14" t="s">
        <v>124</v>
      </c>
      <c r="J14" s="14">
        <v>70</v>
      </c>
      <c r="K14" s="14">
        <f t="shared" si="3"/>
        <v>3.6458333333333336E-2</v>
      </c>
      <c r="L14" s="17">
        <f t="shared" si="4"/>
        <v>3.2279163400707389E-3</v>
      </c>
      <c r="M14" s="14" t="str">
        <f t="shared" si="5"/>
        <v>significant</v>
      </c>
    </row>
    <row r="15" spans="1:13" x14ac:dyDescent="0.2">
      <c r="A15" s="14">
        <v>14</v>
      </c>
      <c r="B15" s="14" t="s">
        <v>34</v>
      </c>
      <c r="C15" s="14" t="s">
        <v>126</v>
      </c>
      <c r="D15" s="14" t="s">
        <v>133</v>
      </c>
      <c r="E15" s="15">
        <v>1.056940172364737E-2</v>
      </c>
      <c r="F15" s="15">
        <v>0.28207112203679968</v>
      </c>
      <c r="G15" s="15">
        <v>0.25123181094290098</v>
      </c>
      <c r="H15" s="16">
        <v>0.80172639758526221</v>
      </c>
      <c r="I15" s="14" t="s">
        <v>136</v>
      </c>
      <c r="J15" s="14">
        <v>95</v>
      </c>
      <c r="K15" s="14">
        <f t="shared" si="3"/>
        <v>4.9479166666666671E-2</v>
      </c>
      <c r="L15" s="17">
        <f t="shared" si="4"/>
        <v>0.81016562282300186</v>
      </c>
      <c r="M15" s="14" t="str">
        <f t="shared" si="5"/>
        <v>non-significant</v>
      </c>
    </row>
    <row r="16" spans="1:13" x14ac:dyDescent="0.2">
      <c r="A16" s="14">
        <v>15</v>
      </c>
      <c r="B16" s="14" t="s">
        <v>34</v>
      </c>
      <c r="C16" s="14" t="s">
        <v>126</v>
      </c>
      <c r="D16" s="14" t="s">
        <v>134</v>
      </c>
      <c r="E16" s="21">
        <v>-0.16866762900427501</v>
      </c>
      <c r="F16" s="21">
        <v>0.2740007585778832</v>
      </c>
      <c r="G16" s="21">
        <v>-4.0091837731347413</v>
      </c>
      <c r="H16" s="21">
        <v>6.9120897060647379E-5</v>
      </c>
      <c r="I16" s="14" t="s">
        <v>124</v>
      </c>
      <c r="J16" s="14">
        <v>63</v>
      </c>
      <c r="K16" s="14">
        <f t="shared" si="3"/>
        <v>3.2812500000000001E-2</v>
      </c>
      <c r="L16" s="21">
        <f t="shared" si="4"/>
        <v>1.053270812352722E-4</v>
      </c>
      <c r="M16" s="14" t="str">
        <f t="shared" si="5"/>
        <v>significant</v>
      </c>
    </row>
    <row r="17" spans="1:13" x14ac:dyDescent="0.2">
      <c r="A17" s="14">
        <v>16</v>
      </c>
      <c r="B17" s="14" t="s">
        <v>34</v>
      </c>
      <c r="C17" s="14" t="s">
        <v>126</v>
      </c>
      <c r="D17" s="14" t="s">
        <v>135</v>
      </c>
      <c r="E17" s="15">
        <v>-7.6091482034260749E-2</v>
      </c>
      <c r="F17" s="15">
        <v>0.26583993112515159</v>
      </c>
      <c r="G17" s="15">
        <v>-1.8086738803792619</v>
      </c>
      <c r="H17" s="16">
        <v>7.1034094139917792E-2</v>
      </c>
      <c r="I17" s="14" t="s">
        <v>136</v>
      </c>
      <c r="J17" s="14">
        <v>80</v>
      </c>
      <c r="K17" s="14">
        <f t="shared" si="3"/>
        <v>4.1666666666666671E-2</v>
      </c>
      <c r="L17" s="17">
        <f t="shared" si="4"/>
        <v>8.5240912967901344E-2</v>
      </c>
      <c r="M17" s="14" t="str">
        <f t="shared" si="5"/>
        <v>non-significant</v>
      </c>
    </row>
    <row r="18" spans="1:13" x14ac:dyDescent="0.2">
      <c r="A18" s="14">
        <v>17</v>
      </c>
      <c r="B18" s="14" t="s">
        <v>34</v>
      </c>
      <c r="C18" s="14" t="s">
        <v>126</v>
      </c>
      <c r="D18" s="14" t="s">
        <v>137</v>
      </c>
      <c r="E18" s="21">
        <v>-0.1408975480614211</v>
      </c>
      <c r="F18" s="21">
        <v>0.27310712033180612</v>
      </c>
      <c r="G18" s="21">
        <v>-3.3490964845898472</v>
      </c>
      <c r="H18" s="21">
        <v>8.6488643176762441E-4</v>
      </c>
      <c r="I18" s="14" t="s">
        <v>124</v>
      </c>
      <c r="J18" s="14">
        <v>67</v>
      </c>
      <c r="K18" s="14">
        <f t="shared" si="3"/>
        <v>3.4895833333333334E-2</v>
      </c>
      <c r="L18" s="21">
        <f t="shared" si="4"/>
        <v>1.2392402604431633E-3</v>
      </c>
      <c r="M18" s="14" t="str">
        <f t="shared" si="5"/>
        <v>significant</v>
      </c>
    </row>
    <row r="19" spans="1:13" x14ac:dyDescent="0.2">
      <c r="A19" s="14">
        <v>18</v>
      </c>
      <c r="B19" s="14" t="s">
        <v>34</v>
      </c>
      <c r="C19" s="14" t="s">
        <v>126</v>
      </c>
      <c r="D19" s="14" t="s">
        <v>138</v>
      </c>
      <c r="E19" s="15">
        <v>-5.8133771998243412E-2</v>
      </c>
      <c r="F19" s="15">
        <v>0.27604484629502429</v>
      </c>
      <c r="G19" s="15">
        <v>-1.3818239856834951</v>
      </c>
      <c r="H19" s="16">
        <v>0.1675728237823757</v>
      </c>
      <c r="I19" s="14" t="s">
        <v>136</v>
      </c>
      <c r="J19" s="14">
        <v>84</v>
      </c>
      <c r="K19" s="14">
        <f t="shared" si="3"/>
        <v>4.3750000000000004E-2</v>
      </c>
      <c r="L19" s="17">
        <f t="shared" si="4"/>
        <v>0.19151179860842937</v>
      </c>
      <c r="M19" s="14" t="str">
        <f t="shared" si="5"/>
        <v>non-significant</v>
      </c>
    </row>
    <row r="20" spans="1:13" x14ac:dyDescent="0.2">
      <c r="A20" s="14">
        <v>19</v>
      </c>
      <c r="B20" s="14" t="s">
        <v>35</v>
      </c>
      <c r="C20" s="14" t="s">
        <v>126</v>
      </c>
      <c r="D20" s="14" t="s">
        <v>132</v>
      </c>
      <c r="E20" s="15">
        <v>-6.5617369644902834E-2</v>
      </c>
      <c r="F20" s="15">
        <v>0.23647507652310029</v>
      </c>
      <c r="G20" s="15">
        <v>-1.559707071055471</v>
      </c>
      <c r="H20" s="16">
        <v>0.11939004101337949</v>
      </c>
      <c r="I20" s="14" t="s">
        <v>136</v>
      </c>
      <c r="J20" s="14">
        <v>83</v>
      </c>
      <c r="K20" s="14">
        <f t="shared" si="3"/>
        <v>4.3229166666666673E-2</v>
      </c>
      <c r="L20" s="17">
        <f t="shared" si="4"/>
        <v>0.13808968599137869</v>
      </c>
      <c r="M20" s="14" t="str">
        <f t="shared" si="5"/>
        <v>non-significant</v>
      </c>
    </row>
    <row r="21" spans="1:13" x14ac:dyDescent="0.2">
      <c r="A21" s="14">
        <v>20</v>
      </c>
      <c r="B21" s="14" t="s">
        <v>35</v>
      </c>
      <c r="C21" s="14" t="s">
        <v>126</v>
      </c>
      <c r="D21" s="14" t="s">
        <v>133</v>
      </c>
      <c r="E21" s="15">
        <v>1.3155140873430031E-2</v>
      </c>
      <c r="F21" s="15">
        <v>0.25578889107213221</v>
      </c>
      <c r="G21" s="15">
        <v>0.31269412888776937</v>
      </c>
      <c r="H21" s="16">
        <v>0.75462864082977521</v>
      </c>
      <c r="I21" s="14" t="s">
        <v>136</v>
      </c>
      <c r="J21" s="14">
        <v>93</v>
      </c>
      <c r="K21" s="14">
        <f t="shared" si="3"/>
        <v>4.8437500000000001E-2</v>
      </c>
      <c r="L21" s="17">
        <f t="shared" si="4"/>
        <v>0.77897150021138084</v>
      </c>
      <c r="M21" s="14" t="str">
        <f t="shared" si="5"/>
        <v>non-significant</v>
      </c>
    </row>
    <row r="22" spans="1:13" x14ac:dyDescent="0.2">
      <c r="A22" s="14">
        <v>21</v>
      </c>
      <c r="B22" s="14" t="s">
        <v>35</v>
      </c>
      <c r="C22" s="14" t="s">
        <v>126</v>
      </c>
      <c r="D22" s="14" t="s">
        <v>134</v>
      </c>
      <c r="E22" s="21">
        <v>-0.1167099727055453</v>
      </c>
      <c r="F22" s="21">
        <v>0.25928609140369863</v>
      </c>
      <c r="G22" s="21">
        <v>-2.774164381727398</v>
      </c>
      <c r="H22" s="21">
        <v>5.7176995978606478E-3</v>
      </c>
      <c r="I22" s="14" t="s">
        <v>124</v>
      </c>
      <c r="J22" s="14">
        <v>74</v>
      </c>
      <c r="K22" s="14">
        <f t="shared" si="3"/>
        <v>3.8541666666666669E-2</v>
      </c>
      <c r="L22" s="21">
        <f t="shared" si="4"/>
        <v>7.4175562350624613E-3</v>
      </c>
      <c r="M22" s="14" t="str">
        <f t="shared" si="5"/>
        <v>significant</v>
      </c>
    </row>
    <row r="23" spans="1:13" x14ac:dyDescent="0.2">
      <c r="A23" s="14">
        <v>22</v>
      </c>
      <c r="B23" s="14" t="s">
        <v>35</v>
      </c>
      <c r="C23" s="14" t="s">
        <v>126</v>
      </c>
      <c r="D23" s="14" t="s">
        <v>135</v>
      </c>
      <c r="E23" s="15">
        <v>-5.391302042727876E-2</v>
      </c>
      <c r="F23" s="15">
        <v>0.24391178543062</v>
      </c>
      <c r="G23" s="15">
        <v>-1.281497866151005</v>
      </c>
      <c r="H23" s="16">
        <v>0.20054544703133659</v>
      </c>
      <c r="I23" s="14" t="s">
        <v>136</v>
      </c>
      <c r="J23" s="14">
        <v>87</v>
      </c>
      <c r="K23" s="14">
        <f t="shared" si="3"/>
        <v>4.5312500000000006E-2</v>
      </c>
      <c r="L23" s="17">
        <f t="shared" si="4"/>
        <v>0.22129152775871624</v>
      </c>
      <c r="M23" s="14" t="str">
        <f t="shared" si="5"/>
        <v>non-significant</v>
      </c>
    </row>
    <row r="24" spans="1:13" x14ac:dyDescent="0.2">
      <c r="A24" s="14">
        <v>23</v>
      </c>
      <c r="B24" s="14" t="s">
        <v>35</v>
      </c>
      <c r="C24" s="14" t="s">
        <v>126</v>
      </c>
      <c r="D24" s="14" t="s">
        <v>137</v>
      </c>
      <c r="E24" s="21">
        <v>-0.1111139612862039</v>
      </c>
      <c r="F24" s="21">
        <v>0.2491966612965294</v>
      </c>
      <c r="G24" s="21">
        <v>-2.6411487087784922</v>
      </c>
      <c r="H24" s="21">
        <v>8.4916165132983851E-3</v>
      </c>
      <c r="I24" s="14" t="s">
        <v>124</v>
      </c>
      <c r="J24" s="14">
        <v>75</v>
      </c>
      <c r="K24" s="14">
        <f t="shared" si="3"/>
        <v>3.90625E-2</v>
      </c>
      <c r="L24" s="21">
        <f t="shared" si="4"/>
        <v>1.0869269137021935E-2</v>
      </c>
      <c r="M24" s="14" t="str">
        <f t="shared" si="5"/>
        <v>significant</v>
      </c>
    </row>
    <row r="25" spans="1:13" x14ac:dyDescent="0.2">
      <c r="A25" s="14">
        <v>24</v>
      </c>
      <c r="B25" s="14" t="s">
        <v>35</v>
      </c>
      <c r="C25" s="14" t="s">
        <v>126</v>
      </c>
      <c r="D25" s="14" t="s">
        <v>138</v>
      </c>
      <c r="E25" s="15">
        <v>-2.9433637428846839E-2</v>
      </c>
      <c r="F25" s="15">
        <v>0.25291347439153589</v>
      </c>
      <c r="G25" s="15">
        <v>-0.69962957480758314</v>
      </c>
      <c r="H25" s="16">
        <v>0.48444711661698492</v>
      </c>
      <c r="I25" s="14" t="s">
        <v>136</v>
      </c>
      <c r="J25" s="14">
        <v>89</v>
      </c>
      <c r="K25" s="14">
        <f t="shared" si="3"/>
        <v>4.6354166666666669E-2</v>
      </c>
      <c r="L25" s="17">
        <f t="shared" si="4"/>
        <v>0.52254969882281521</v>
      </c>
      <c r="M25" s="14" t="str">
        <f t="shared" si="5"/>
        <v>non-significant</v>
      </c>
    </row>
    <row r="26" spans="1:13" x14ac:dyDescent="0.2">
      <c r="A26" s="14">
        <v>25</v>
      </c>
      <c r="B26" s="14" t="s">
        <v>36</v>
      </c>
      <c r="C26" s="14" t="s">
        <v>126</v>
      </c>
      <c r="D26" s="14" t="s">
        <v>132</v>
      </c>
      <c r="E26" s="15">
        <v>-0.28992031128817369</v>
      </c>
      <c r="F26" s="15">
        <v>0.31532035731830799</v>
      </c>
      <c r="G26" s="15">
        <v>-6.8913271288663136</v>
      </c>
      <c r="H26" s="16">
        <v>1.48303228101333E-11</v>
      </c>
      <c r="I26" s="14" t="s">
        <v>124</v>
      </c>
      <c r="J26" s="14">
        <v>46</v>
      </c>
      <c r="K26" s="14">
        <f t="shared" si="3"/>
        <v>2.3958333333333335E-2</v>
      </c>
      <c r="L26" s="17">
        <f t="shared" si="4"/>
        <v>3.0950238908104276E-11</v>
      </c>
      <c r="M26" s="14" t="str">
        <f t="shared" si="5"/>
        <v>significant</v>
      </c>
    </row>
    <row r="27" spans="1:13" x14ac:dyDescent="0.2">
      <c r="A27" s="14">
        <v>26</v>
      </c>
      <c r="B27" s="14" t="s">
        <v>36</v>
      </c>
      <c r="C27" s="14" t="s">
        <v>126</v>
      </c>
      <c r="D27" s="14" t="s">
        <v>133</v>
      </c>
      <c r="E27" s="15">
        <v>1.270934296591205E-2</v>
      </c>
      <c r="F27" s="15">
        <v>0.34196826506387717</v>
      </c>
      <c r="G27" s="15">
        <v>0.30209763359421687</v>
      </c>
      <c r="H27" s="16">
        <v>0.76268900339434587</v>
      </c>
      <c r="I27" s="14" t="s">
        <v>136</v>
      </c>
      <c r="J27" s="14">
        <v>94</v>
      </c>
      <c r="K27" s="14">
        <f t="shared" si="3"/>
        <v>4.8958333333333333E-2</v>
      </c>
      <c r="L27" s="17">
        <f t="shared" si="4"/>
        <v>0.77891642899848079</v>
      </c>
      <c r="M27" s="14" t="str">
        <f t="shared" si="5"/>
        <v>non-significant</v>
      </c>
    </row>
    <row r="28" spans="1:13" x14ac:dyDescent="0.2">
      <c r="A28" s="14">
        <v>27</v>
      </c>
      <c r="B28" s="14" t="s">
        <v>36</v>
      </c>
      <c r="C28" s="14" t="s">
        <v>126</v>
      </c>
      <c r="D28" s="14" t="s">
        <v>134</v>
      </c>
      <c r="E28" s="21">
        <v>-0.28972344918213078</v>
      </c>
      <c r="F28" s="21">
        <v>0.30877082075238588</v>
      </c>
      <c r="G28" s="21">
        <v>-6.8866477700245987</v>
      </c>
      <c r="H28" s="21">
        <v>1.528708845294698E-11</v>
      </c>
      <c r="I28" s="14" t="s">
        <v>124</v>
      </c>
      <c r="J28" s="14">
        <v>47</v>
      </c>
      <c r="K28" s="14">
        <f t="shared" si="3"/>
        <v>2.4479166666666666E-2</v>
      </c>
      <c r="L28" s="21">
        <f t="shared" si="4"/>
        <v>3.1224691308147018E-11</v>
      </c>
      <c r="M28" s="14" t="str">
        <f t="shared" si="5"/>
        <v>significant</v>
      </c>
    </row>
    <row r="29" spans="1:13" x14ac:dyDescent="0.2">
      <c r="A29" s="14">
        <v>28</v>
      </c>
      <c r="B29" s="14" t="s">
        <v>36</v>
      </c>
      <c r="C29" s="14" t="s">
        <v>126</v>
      </c>
      <c r="D29" s="14" t="s">
        <v>135</v>
      </c>
      <c r="E29" s="15">
        <v>-0.16566875295818431</v>
      </c>
      <c r="F29" s="15">
        <v>0.32003322687251001</v>
      </c>
      <c r="G29" s="15">
        <v>-3.93790130327015</v>
      </c>
      <c r="H29" s="16">
        <v>9.2487443649543478E-5</v>
      </c>
      <c r="I29" s="14" t="s">
        <v>124</v>
      </c>
      <c r="J29" s="14">
        <v>64</v>
      </c>
      <c r="K29" s="14">
        <f t="shared" si="3"/>
        <v>3.3333333333333333E-2</v>
      </c>
      <c r="L29" s="17">
        <f t="shared" si="4"/>
        <v>1.3873116547431522E-4</v>
      </c>
      <c r="M29" s="14" t="str">
        <f t="shared" si="5"/>
        <v>significant</v>
      </c>
    </row>
    <row r="30" spans="1:13" x14ac:dyDescent="0.2">
      <c r="A30" s="14">
        <v>29</v>
      </c>
      <c r="B30" s="14" t="s">
        <v>36</v>
      </c>
      <c r="C30" s="14" t="s">
        <v>126</v>
      </c>
      <c r="D30" s="14" t="s">
        <v>137</v>
      </c>
      <c r="E30" s="21">
        <v>-0.2212988247138182</v>
      </c>
      <c r="F30" s="21">
        <v>0.32352479647466642</v>
      </c>
      <c r="G30" s="21">
        <v>-5.2602130135708602</v>
      </c>
      <c r="H30" s="21">
        <v>2.0465132582538179E-7</v>
      </c>
      <c r="I30" s="14" t="s">
        <v>124</v>
      </c>
      <c r="J30" s="14">
        <v>54</v>
      </c>
      <c r="K30" s="14">
        <f t="shared" si="3"/>
        <v>2.8125000000000001E-2</v>
      </c>
      <c r="L30" s="21">
        <f t="shared" si="4"/>
        <v>3.6382457924512321E-7</v>
      </c>
      <c r="M30" s="14" t="str">
        <f t="shared" si="5"/>
        <v>significant</v>
      </c>
    </row>
    <row r="31" spans="1:13" x14ac:dyDescent="0.2">
      <c r="A31" s="14">
        <v>30</v>
      </c>
      <c r="B31" s="14" t="s">
        <v>36</v>
      </c>
      <c r="C31" s="14" t="s">
        <v>126</v>
      </c>
      <c r="D31" s="14" t="s">
        <v>138</v>
      </c>
      <c r="E31" s="15">
        <v>-0.1105274318317155</v>
      </c>
      <c r="F31" s="15">
        <v>0.34442652899460102</v>
      </c>
      <c r="G31" s="15">
        <v>-2.6272070628012378</v>
      </c>
      <c r="H31" s="16">
        <v>8.8430627235222669E-3</v>
      </c>
      <c r="I31" s="14" t="s">
        <v>124</v>
      </c>
      <c r="J31" s="14">
        <v>76</v>
      </c>
      <c r="K31" s="14">
        <f t="shared" si="3"/>
        <v>3.9583333333333331E-2</v>
      </c>
      <c r="L31" s="17">
        <f t="shared" si="4"/>
        <v>1.117018449287023E-2</v>
      </c>
      <c r="M31" s="14" t="str">
        <f t="shared" si="5"/>
        <v>significant</v>
      </c>
    </row>
    <row r="32" spans="1:13" x14ac:dyDescent="0.2">
      <c r="A32" s="14">
        <v>31</v>
      </c>
      <c r="B32" s="14" t="s">
        <v>37</v>
      </c>
      <c r="C32" s="14" t="s">
        <v>126</v>
      </c>
      <c r="D32" s="14" t="s">
        <v>132</v>
      </c>
      <c r="E32" s="15">
        <v>-0.20771507112192369</v>
      </c>
      <c r="F32" s="15">
        <v>0.29616204186298739</v>
      </c>
      <c r="G32" s="15">
        <v>-4.9373308766701056</v>
      </c>
      <c r="H32" s="16">
        <v>1.04464250848482E-6</v>
      </c>
      <c r="I32" s="14" t="s">
        <v>124</v>
      </c>
      <c r="J32" s="14">
        <v>56</v>
      </c>
      <c r="K32" s="14">
        <f t="shared" si="3"/>
        <v>2.9166666666666671E-2</v>
      </c>
      <c r="L32" s="17">
        <f t="shared" si="4"/>
        <v>1.7908157288311199E-6</v>
      </c>
      <c r="M32" s="14" t="str">
        <f t="shared" si="5"/>
        <v>significant</v>
      </c>
    </row>
    <row r="33" spans="1:13" x14ac:dyDescent="0.2">
      <c r="A33" s="14">
        <v>32</v>
      </c>
      <c r="B33" s="14" t="s">
        <v>37</v>
      </c>
      <c r="C33" s="14" t="s">
        <v>126</v>
      </c>
      <c r="D33" s="14" t="s">
        <v>133</v>
      </c>
      <c r="E33" s="15">
        <v>2.3766014909428621E-2</v>
      </c>
      <c r="F33" s="15">
        <v>0.30049838482589142</v>
      </c>
      <c r="G33" s="15">
        <v>0.56491172544166479</v>
      </c>
      <c r="H33" s="16">
        <v>0.5723584253558347</v>
      </c>
      <c r="I33" s="14" t="s">
        <v>136</v>
      </c>
      <c r="J33" s="14">
        <v>91</v>
      </c>
      <c r="K33" s="14">
        <f t="shared" si="3"/>
        <v>4.7395833333333331E-2</v>
      </c>
      <c r="L33" s="17">
        <f t="shared" si="4"/>
        <v>0.60380669048527613</v>
      </c>
      <c r="M33" s="14" t="str">
        <f t="shared" si="5"/>
        <v>non-significant</v>
      </c>
    </row>
    <row r="34" spans="1:13" x14ac:dyDescent="0.2">
      <c r="A34" s="14">
        <v>33</v>
      </c>
      <c r="B34" s="14" t="s">
        <v>37</v>
      </c>
      <c r="C34" s="14" t="s">
        <v>126</v>
      </c>
      <c r="D34" s="14" t="s">
        <v>134</v>
      </c>
      <c r="E34" s="21">
        <v>-0.2215365300943038</v>
      </c>
      <c r="F34" s="21">
        <v>0.28624423349055722</v>
      </c>
      <c r="G34" s="21">
        <v>-5.2658632059631749</v>
      </c>
      <c r="H34" s="21">
        <v>1.9874159682688329E-7</v>
      </c>
      <c r="I34" s="14" t="s">
        <v>124</v>
      </c>
      <c r="J34" s="14">
        <v>53</v>
      </c>
      <c r="K34" s="14">
        <f t="shared" si="3"/>
        <v>2.7604166666666669E-2</v>
      </c>
      <c r="L34" s="21">
        <f t="shared" si="4"/>
        <v>3.5998477915812818E-7</v>
      </c>
      <c r="M34" s="14" t="str">
        <f t="shared" si="5"/>
        <v>significant</v>
      </c>
    </row>
    <row r="35" spans="1:13" x14ac:dyDescent="0.2">
      <c r="A35" s="14">
        <v>34</v>
      </c>
      <c r="B35" s="14" t="s">
        <v>37</v>
      </c>
      <c r="C35" s="14" t="s">
        <v>126</v>
      </c>
      <c r="D35" s="14" t="s">
        <v>135</v>
      </c>
      <c r="E35" s="15">
        <v>-0.1252832971976886</v>
      </c>
      <c r="F35" s="15">
        <v>0.29245561504306822</v>
      </c>
      <c r="G35" s="15">
        <v>-2.977949978516977</v>
      </c>
      <c r="H35" s="16">
        <v>3.0265376064956711E-3</v>
      </c>
      <c r="I35" s="14" t="s">
        <v>124</v>
      </c>
      <c r="J35" s="14">
        <v>71</v>
      </c>
      <c r="K35" s="14">
        <f t="shared" si="3"/>
        <v>3.6979166666666667E-2</v>
      </c>
      <c r="L35" s="17">
        <f t="shared" si="4"/>
        <v>4.0922198623040062E-3</v>
      </c>
      <c r="M35" s="14" t="str">
        <f t="shared" si="5"/>
        <v>significant</v>
      </c>
    </row>
    <row r="36" spans="1:13" x14ac:dyDescent="0.2">
      <c r="A36" s="14">
        <v>35</v>
      </c>
      <c r="B36" s="14" t="s">
        <v>37</v>
      </c>
      <c r="C36" s="14" t="s">
        <v>126</v>
      </c>
      <c r="D36" s="14" t="s">
        <v>137</v>
      </c>
      <c r="E36" s="21">
        <v>-0.17283770798123479</v>
      </c>
      <c r="F36" s="21">
        <v>0.30512799574865601</v>
      </c>
      <c r="G36" s="21">
        <v>-4.1083054188578449</v>
      </c>
      <c r="H36" s="21">
        <v>4.5766847420832577E-5</v>
      </c>
      <c r="I36" s="14" t="s">
        <v>124</v>
      </c>
      <c r="J36" s="14">
        <v>62</v>
      </c>
      <c r="K36" s="14">
        <f t="shared" ref="K36:K67" si="6">J36/96*0.05</f>
        <v>3.229166666666667E-2</v>
      </c>
      <c r="L36" s="21">
        <f t="shared" ref="L36:L67" si="7">H36*96/J36</f>
        <v>7.0864796006450442E-5</v>
      </c>
      <c r="M36" s="14" t="str">
        <f t="shared" ref="M36:M67" si="8">IF(H36&lt;=K36, "significant", "non-significant")</f>
        <v>significant</v>
      </c>
    </row>
    <row r="37" spans="1:13" x14ac:dyDescent="0.2">
      <c r="A37" s="14">
        <v>36</v>
      </c>
      <c r="B37" s="14" t="s">
        <v>37</v>
      </c>
      <c r="C37" s="14" t="s">
        <v>126</v>
      </c>
      <c r="D37" s="14" t="s">
        <v>138</v>
      </c>
      <c r="E37" s="15">
        <v>-7.3973694265691947E-2</v>
      </c>
      <c r="F37" s="15">
        <v>0.31427736348776197</v>
      </c>
      <c r="G37" s="15">
        <v>-1.758334639786308</v>
      </c>
      <c r="H37" s="16">
        <v>7.9232928071592032E-2</v>
      </c>
      <c r="I37" s="14" t="s">
        <v>136</v>
      </c>
      <c r="J37" s="14">
        <v>82</v>
      </c>
      <c r="K37" s="14">
        <f t="shared" si="6"/>
        <v>4.2708333333333334E-2</v>
      </c>
      <c r="L37" s="17">
        <f t="shared" si="7"/>
        <v>9.2760501156985795E-2</v>
      </c>
      <c r="M37" s="14" t="str">
        <f t="shared" si="8"/>
        <v>non-significant</v>
      </c>
    </row>
    <row r="38" spans="1:13" x14ac:dyDescent="0.2">
      <c r="A38" s="14">
        <v>37</v>
      </c>
      <c r="B38" s="14" t="s">
        <v>38</v>
      </c>
      <c r="C38" s="14" t="s">
        <v>126</v>
      </c>
      <c r="D38" s="14" t="s">
        <v>132</v>
      </c>
      <c r="E38" s="15">
        <v>-0.2770422009648712</v>
      </c>
      <c r="F38" s="15">
        <v>0.31560506632959762</v>
      </c>
      <c r="G38" s="15">
        <v>-6.5852179409822842</v>
      </c>
      <c r="H38" s="16">
        <v>1.041487256039844E-10</v>
      </c>
      <c r="I38" s="14" t="s">
        <v>124</v>
      </c>
      <c r="J38" s="14">
        <v>49</v>
      </c>
      <c r="K38" s="14">
        <f t="shared" si="6"/>
        <v>2.5520833333333333E-2</v>
      </c>
      <c r="L38" s="17">
        <f t="shared" si="7"/>
        <v>2.0404648281596945E-10</v>
      </c>
      <c r="M38" s="14" t="str">
        <f t="shared" si="8"/>
        <v>significant</v>
      </c>
    </row>
    <row r="39" spans="1:13" x14ac:dyDescent="0.2">
      <c r="A39" s="14">
        <v>38</v>
      </c>
      <c r="B39" s="14" t="s">
        <v>38</v>
      </c>
      <c r="C39" s="14" t="s">
        <v>126</v>
      </c>
      <c r="D39" s="14" t="s">
        <v>133</v>
      </c>
      <c r="E39" s="15">
        <v>2.817161393256945E-2</v>
      </c>
      <c r="F39" s="15">
        <v>0.34130602587558628</v>
      </c>
      <c r="G39" s="15">
        <v>0.66963161875365751</v>
      </c>
      <c r="H39" s="16">
        <v>0.50336669382320687</v>
      </c>
      <c r="I39" s="14" t="s">
        <v>136</v>
      </c>
      <c r="J39" s="14">
        <v>90</v>
      </c>
      <c r="K39" s="14">
        <f t="shared" si="6"/>
        <v>4.6875E-2</v>
      </c>
      <c r="L39" s="17">
        <f t="shared" si="7"/>
        <v>0.53692447341142069</v>
      </c>
      <c r="M39" s="14" t="str">
        <f t="shared" si="8"/>
        <v>non-significant</v>
      </c>
    </row>
    <row r="40" spans="1:13" x14ac:dyDescent="0.2">
      <c r="A40" s="14">
        <v>39</v>
      </c>
      <c r="B40" s="14" t="s">
        <v>38</v>
      </c>
      <c r="C40" s="14" t="s">
        <v>126</v>
      </c>
      <c r="D40" s="14" t="s">
        <v>134</v>
      </c>
      <c r="E40" s="21">
        <v>-0.27804276022026619</v>
      </c>
      <c r="F40" s="21">
        <v>0.30669380865002888</v>
      </c>
      <c r="G40" s="21">
        <v>-6.6090009629792767</v>
      </c>
      <c r="H40" s="21">
        <v>8.9744148904502557E-11</v>
      </c>
      <c r="I40" s="14" t="s">
        <v>124</v>
      </c>
      <c r="J40" s="14">
        <v>48</v>
      </c>
      <c r="K40" s="14">
        <f t="shared" si="6"/>
        <v>2.5000000000000001E-2</v>
      </c>
      <c r="L40" s="21">
        <f t="shared" si="7"/>
        <v>1.7948829780900511E-10</v>
      </c>
      <c r="M40" s="14" t="str">
        <f t="shared" si="8"/>
        <v>significant</v>
      </c>
    </row>
    <row r="41" spans="1:13" x14ac:dyDescent="0.2">
      <c r="A41" s="14">
        <v>40</v>
      </c>
      <c r="B41" s="14" t="s">
        <v>38</v>
      </c>
      <c r="C41" s="14" t="s">
        <v>126</v>
      </c>
      <c r="D41" s="14" t="s">
        <v>135</v>
      </c>
      <c r="E41" s="15">
        <v>-0.15716890623394739</v>
      </c>
      <c r="F41" s="15">
        <v>0.3178125215199204</v>
      </c>
      <c r="G41" s="15">
        <v>-3.735862253085366</v>
      </c>
      <c r="H41" s="16">
        <v>2.0610546244132801E-4</v>
      </c>
      <c r="I41" s="14" t="s">
        <v>124</v>
      </c>
      <c r="J41" s="14">
        <v>66</v>
      </c>
      <c r="K41" s="14">
        <f t="shared" si="6"/>
        <v>3.4375000000000003E-2</v>
      </c>
      <c r="L41" s="17">
        <f t="shared" si="7"/>
        <v>2.9978976355102255E-4</v>
      </c>
      <c r="M41" s="14" t="str">
        <f t="shared" si="8"/>
        <v>significant</v>
      </c>
    </row>
    <row r="42" spans="1:13" x14ac:dyDescent="0.2">
      <c r="A42" s="14">
        <v>41</v>
      </c>
      <c r="B42" s="14" t="s">
        <v>38</v>
      </c>
      <c r="C42" s="14" t="s">
        <v>126</v>
      </c>
      <c r="D42" s="14" t="s">
        <v>137</v>
      </c>
      <c r="E42" s="21">
        <v>-0.20977740463785161</v>
      </c>
      <c r="F42" s="21">
        <v>0.32144988963818211</v>
      </c>
      <c r="G42" s="21">
        <v>-4.9863519847254061</v>
      </c>
      <c r="H42" s="21">
        <v>8.2022298183352323E-7</v>
      </c>
      <c r="I42" s="14" t="s">
        <v>124</v>
      </c>
      <c r="J42" s="14">
        <v>55</v>
      </c>
      <c r="K42" s="14">
        <f t="shared" si="6"/>
        <v>2.8645833333333332E-2</v>
      </c>
      <c r="L42" s="21">
        <f t="shared" si="7"/>
        <v>1.4316619319276043E-6</v>
      </c>
      <c r="M42" s="14" t="str">
        <f t="shared" si="8"/>
        <v>significant</v>
      </c>
    </row>
    <row r="43" spans="1:13" x14ac:dyDescent="0.2">
      <c r="A43" s="14">
        <v>42</v>
      </c>
      <c r="B43" s="14" t="s">
        <v>38</v>
      </c>
      <c r="C43" s="14" t="s">
        <v>126</v>
      </c>
      <c r="D43" s="14" t="s">
        <v>138</v>
      </c>
      <c r="E43" s="15">
        <v>-9.6692784908727653E-2</v>
      </c>
      <c r="F43" s="15">
        <v>0.34155735337348758</v>
      </c>
      <c r="G43" s="15">
        <v>-2.2983612595007972</v>
      </c>
      <c r="H43" s="16">
        <v>2.1906142373196939E-2</v>
      </c>
      <c r="I43" s="14" t="s">
        <v>124</v>
      </c>
      <c r="J43" s="14">
        <v>78</v>
      </c>
      <c r="K43" s="14">
        <f t="shared" si="6"/>
        <v>4.0625000000000001E-2</v>
      </c>
      <c r="L43" s="17">
        <f t="shared" si="7"/>
        <v>2.6961405997780848E-2</v>
      </c>
      <c r="M43" s="14" t="str">
        <f t="shared" si="8"/>
        <v>significant</v>
      </c>
    </row>
    <row r="44" spans="1:13" x14ac:dyDescent="0.2">
      <c r="A44" s="14">
        <v>43</v>
      </c>
      <c r="B44" s="14" t="s">
        <v>40</v>
      </c>
      <c r="C44" s="14" t="s">
        <v>126</v>
      </c>
      <c r="D44" s="14" t="s">
        <v>132</v>
      </c>
      <c r="E44" s="15">
        <v>-0.33939080679344508</v>
      </c>
      <c r="F44" s="15">
        <v>0.27002165267770573</v>
      </c>
      <c r="G44" s="15">
        <v>-8.0672273831091843</v>
      </c>
      <c r="H44" s="16">
        <v>4.3445253377067376E-15</v>
      </c>
      <c r="I44" s="14" t="s">
        <v>124</v>
      </c>
      <c r="J44" s="14">
        <v>40</v>
      </c>
      <c r="K44" s="14">
        <f t="shared" si="6"/>
        <v>2.0833333333333336E-2</v>
      </c>
      <c r="L44" s="17">
        <f t="shared" si="7"/>
        <v>1.0426860810496171E-14</v>
      </c>
      <c r="M44" s="14" t="str">
        <f t="shared" si="8"/>
        <v>significant</v>
      </c>
    </row>
    <row r="45" spans="1:13" x14ac:dyDescent="0.2">
      <c r="A45" s="14">
        <v>44</v>
      </c>
      <c r="B45" s="14" t="s">
        <v>40</v>
      </c>
      <c r="C45" s="14" t="s">
        <v>126</v>
      </c>
      <c r="D45" s="14" t="s">
        <v>133</v>
      </c>
      <c r="E45" s="15">
        <v>-4.43332352839515E-2</v>
      </c>
      <c r="F45" s="15">
        <v>0.30005194513986772</v>
      </c>
      <c r="G45" s="15">
        <v>-1.053788972787884</v>
      </c>
      <c r="H45" s="16">
        <v>0.29243077473498919</v>
      </c>
      <c r="I45" s="14" t="s">
        <v>136</v>
      </c>
      <c r="J45" s="14">
        <v>88</v>
      </c>
      <c r="K45" s="14">
        <f t="shared" si="6"/>
        <v>4.5833333333333337E-2</v>
      </c>
      <c r="L45" s="17">
        <f t="shared" si="7"/>
        <v>0.31901539061998818</v>
      </c>
      <c r="M45" s="14" t="str">
        <f t="shared" si="8"/>
        <v>non-significant</v>
      </c>
    </row>
    <row r="46" spans="1:13" x14ac:dyDescent="0.2">
      <c r="A46" s="14">
        <v>45</v>
      </c>
      <c r="B46" s="14" t="s">
        <v>40</v>
      </c>
      <c r="C46" s="14" t="s">
        <v>126</v>
      </c>
      <c r="D46" s="14" t="s">
        <v>134</v>
      </c>
      <c r="E46" s="21">
        <v>-0.3343753976355025</v>
      </c>
      <c r="F46" s="21">
        <v>0.26400859278871469</v>
      </c>
      <c r="G46" s="21">
        <v>-7.9480124683661479</v>
      </c>
      <c r="H46" s="21">
        <v>1.0371112312761219E-14</v>
      </c>
      <c r="I46" s="14" t="s">
        <v>124</v>
      </c>
      <c r="J46" s="14">
        <v>41</v>
      </c>
      <c r="K46" s="14">
        <f t="shared" si="6"/>
        <v>2.1354166666666667E-2</v>
      </c>
      <c r="L46" s="21">
        <f t="shared" si="7"/>
        <v>2.4283580049392122E-14</v>
      </c>
      <c r="M46" s="14" t="str">
        <f t="shared" si="8"/>
        <v>significant</v>
      </c>
    </row>
    <row r="47" spans="1:13" x14ac:dyDescent="0.2">
      <c r="A47" s="14">
        <v>46</v>
      </c>
      <c r="B47" s="14" t="s">
        <v>40</v>
      </c>
      <c r="C47" s="14" t="s">
        <v>126</v>
      </c>
      <c r="D47" s="14" t="s">
        <v>135</v>
      </c>
      <c r="E47" s="15">
        <v>-0.25043149502437573</v>
      </c>
      <c r="F47" s="15">
        <v>0.270744120153179</v>
      </c>
      <c r="G47" s="15">
        <v>-5.952688681644732</v>
      </c>
      <c r="H47" s="16">
        <v>4.6381674438969021E-9</v>
      </c>
      <c r="I47" s="14" t="s">
        <v>124</v>
      </c>
      <c r="J47" s="14">
        <v>51</v>
      </c>
      <c r="K47" s="14">
        <f t="shared" si="6"/>
        <v>2.6562500000000003E-2</v>
      </c>
      <c r="L47" s="17">
        <f t="shared" si="7"/>
        <v>8.7306681296882871E-9</v>
      </c>
      <c r="M47" s="14" t="str">
        <f t="shared" si="8"/>
        <v>significant</v>
      </c>
    </row>
    <row r="48" spans="1:13" x14ac:dyDescent="0.2">
      <c r="A48" s="14">
        <v>47</v>
      </c>
      <c r="B48" s="14" t="s">
        <v>40</v>
      </c>
      <c r="C48" s="14" t="s">
        <v>126</v>
      </c>
      <c r="D48" s="14" t="s">
        <v>137</v>
      </c>
      <c r="E48" s="21">
        <v>-0.29485086713028569</v>
      </c>
      <c r="F48" s="21">
        <v>0.26980468097690752</v>
      </c>
      <c r="G48" s="21">
        <v>-7.0085251033171723</v>
      </c>
      <c r="H48" s="21">
        <v>6.8999479509593113E-12</v>
      </c>
      <c r="I48" s="14" t="s">
        <v>124</v>
      </c>
      <c r="J48" s="14">
        <v>45</v>
      </c>
      <c r="K48" s="14">
        <f t="shared" si="6"/>
        <v>2.34375E-2</v>
      </c>
      <c r="L48" s="21">
        <f t="shared" si="7"/>
        <v>1.4719888962046533E-11</v>
      </c>
      <c r="M48" s="14" t="str">
        <f t="shared" si="8"/>
        <v>significant</v>
      </c>
    </row>
    <row r="49" spans="1:13" x14ac:dyDescent="0.2">
      <c r="A49" s="14">
        <v>48</v>
      </c>
      <c r="B49" s="14" t="s">
        <v>40</v>
      </c>
      <c r="C49" s="14" t="s">
        <v>126</v>
      </c>
      <c r="D49" s="14" t="s">
        <v>138</v>
      </c>
      <c r="E49" s="15">
        <v>-0.18957599847547371</v>
      </c>
      <c r="F49" s="15">
        <v>0.29429840637808652</v>
      </c>
      <c r="G49" s="15">
        <v>-4.506170041937458</v>
      </c>
      <c r="H49" s="16">
        <v>8.0289626555575258E-6</v>
      </c>
      <c r="I49" s="14" t="s">
        <v>124</v>
      </c>
      <c r="J49" s="14">
        <v>58</v>
      </c>
      <c r="K49" s="14">
        <f t="shared" si="6"/>
        <v>3.0208333333333334E-2</v>
      </c>
      <c r="L49" s="17">
        <f t="shared" si="7"/>
        <v>1.3289317498853835E-5</v>
      </c>
      <c r="M49" s="14" t="str">
        <f t="shared" si="8"/>
        <v>significant</v>
      </c>
    </row>
    <row r="50" spans="1:13" x14ac:dyDescent="0.2">
      <c r="A50" s="14">
        <v>49</v>
      </c>
      <c r="B50" s="14" t="s">
        <v>32</v>
      </c>
      <c r="C50" s="14" t="s">
        <v>126</v>
      </c>
      <c r="D50" s="14" t="s">
        <v>139</v>
      </c>
      <c r="E50" s="15">
        <v>0.22952376196784069</v>
      </c>
      <c r="F50" s="15">
        <v>0.25003740820228759</v>
      </c>
      <c r="G50" s="15">
        <v>17.671839194635439</v>
      </c>
      <c r="H50" s="16">
        <v>3.7742546822606496E-68</v>
      </c>
      <c r="I50" s="14" t="s">
        <v>124</v>
      </c>
      <c r="J50" s="14">
        <v>11</v>
      </c>
      <c r="K50" s="14">
        <f t="shared" si="6"/>
        <v>5.7291666666666671E-3</v>
      </c>
      <c r="L50" s="17">
        <f t="shared" si="7"/>
        <v>3.2938949954274756E-67</v>
      </c>
      <c r="M50" s="14" t="str">
        <f t="shared" si="8"/>
        <v>significant</v>
      </c>
    </row>
    <row r="51" spans="1:13" x14ac:dyDescent="0.2">
      <c r="A51" s="14">
        <v>50</v>
      </c>
      <c r="B51" s="14" t="s">
        <v>32</v>
      </c>
      <c r="C51" s="14" t="s">
        <v>126</v>
      </c>
      <c r="D51" s="14" t="s">
        <v>140</v>
      </c>
      <c r="E51" s="21">
        <v>-0.15824020967913091</v>
      </c>
      <c r="F51" s="21">
        <v>0.2189306862995129</v>
      </c>
      <c r="G51" s="21">
        <v>-12.18346856813373</v>
      </c>
      <c r="H51" s="21">
        <v>9.6158116677508346E-34</v>
      </c>
      <c r="I51" s="14" t="s">
        <v>124</v>
      </c>
      <c r="J51" s="14">
        <v>30</v>
      </c>
      <c r="K51" s="14">
        <f t="shared" si="6"/>
        <v>1.5625E-2</v>
      </c>
      <c r="L51" s="21">
        <f t="shared" si="7"/>
        <v>3.0770597336802671E-33</v>
      </c>
      <c r="M51" s="14" t="str">
        <f t="shared" si="8"/>
        <v>significant</v>
      </c>
    </row>
    <row r="52" spans="1:13" x14ac:dyDescent="0.2">
      <c r="A52" s="14">
        <v>51</v>
      </c>
      <c r="B52" s="14" t="s">
        <v>32</v>
      </c>
      <c r="C52" s="14" t="s">
        <v>126</v>
      </c>
      <c r="D52" s="14" t="s">
        <v>141</v>
      </c>
      <c r="E52" s="15">
        <v>-0.1186304359458844</v>
      </c>
      <c r="F52" s="15">
        <v>0.22832249671652041</v>
      </c>
      <c r="G52" s="15">
        <v>-9.1337732078428751</v>
      </c>
      <c r="H52" s="16">
        <v>8.909948090590779E-20</v>
      </c>
      <c r="I52" s="14" t="s">
        <v>124</v>
      </c>
      <c r="J52" s="14">
        <v>37</v>
      </c>
      <c r="K52" s="14">
        <f t="shared" si="6"/>
        <v>1.9270833333333334E-2</v>
      </c>
      <c r="L52" s="17">
        <f t="shared" si="7"/>
        <v>2.3117703153965261E-19</v>
      </c>
      <c r="M52" s="14" t="str">
        <f t="shared" si="8"/>
        <v>significant</v>
      </c>
    </row>
    <row r="53" spans="1:13" x14ac:dyDescent="0.2">
      <c r="A53" s="14">
        <v>52</v>
      </c>
      <c r="B53" s="14" t="s">
        <v>32</v>
      </c>
      <c r="C53" s="14" t="s">
        <v>126</v>
      </c>
      <c r="D53" s="14" t="s">
        <v>142</v>
      </c>
      <c r="E53" s="15">
        <v>-0.202596574518876</v>
      </c>
      <c r="F53" s="15">
        <v>0.22008978153928521</v>
      </c>
      <c r="G53" s="15">
        <v>-15.59862062030507</v>
      </c>
      <c r="H53" s="16">
        <v>8.6280579367772392E-54</v>
      </c>
      <c r="I53" s="14" t="s">
        <v>124</v>
      </c>
      <c r="J53" s="14">
        <v>19</v>
      </c>
      <c r="K53" s="14">
        <f t="shared" si="6"/>
        <v>9.8958333333333329E-3</v>
      </c>
      <c r="L53" s="17">
        <f t="shared" si="7"/>
        <v>4.3594397996348156E-53</v>
      </c>
      <c r="M53" s="14" t="str">
        <f t="shared" si="8"/>
        <v>significant</v>
      </c>
    </row>
    <row r="54" spans="1:13" x14ac:dyDescent="0.2">
      <c r="A54" s="14">
        <v>53</v>
      </c>
      <c r="B54" s="14" t="s">
        <v>32</v>
      </c>
      <c r="C54" s="14" t="s">
        <v>126</v>
      </c>
      <c r="D54" s="14" t="s">
        <v>143</v>
      </c>
      <c r="E54" s="15">
        <v>-0.19990240612060459</v>
      </c>
      <c r="F54" s="15">
        <v>0.22073957295929811</v>
      </c>
      <c r="G54" s="15">
        <v>-15.39118714897589</v>
      </c>
      <c r="H54" s="16">
        <v>1.9186691528282281E-52</v>
      </c>
      <c r="I54" s="14" t="s">
        <v>124</v>
      </c>
      <c r="J54" s="14">
        <v>21</v>
      </c>
      <c r="K54" s="14">
        <f t="shared" si="6"/>
        <v>1.0937500000000001E-2</v>
      </c>
      <c r="L54" s="17">
        <f t="shared" si="7"/>
        <v>8.7710589843576151E-52</v>
      </c>
      <c r="M54" s="14" t="str">
        <f t="shared" si="8"/>
        <v>significant</v>
      </c>
    </row>
    <row r="55" spans="1:13" x14ac:dyDescent="0.2">
      <c r="A55" s="14">
        <v>54</v>
      </c>
      <c r="B55" s="14" t="s">
        <v>32</v>
      </c>
      <c r="C55" s="14" t="s">
        <v>126</v>
      </c>
      <c r="D55" s="14" t="s">
        <v>144</v>
      </c>
      <c r="E55" s="21">
        <v>-0.23513079219150509</v>
      </c>
      <c r="F55" s="21">
        <v>0.22137196220867289</v>
      </c>
      <c r="G55" s="21">
        <v>-18.103544111035081</v>
      </c>
      <c r="H55" s="21">
        <v>2.4268278645263089E-71</v>
      </c>
      <c r="I55" s="14" t="s">
        <v>124</v>
      </c>
      <c r="J55" s="14">
        <v>10</v>
      </c>
      <c r="K55" s="14">
        <f t="shared" si="6"/>
        <v>5.2083333333333339E-3</v>
      </c>
      <c r="L55" s="21">
        <f t="shared" si="7"/>
        <v>2.3297547499452565E-70</v>
      </c>
      <c r="M55" s="14" t="str">
        <f t="shared" si="8"/>
        <v>significant</v>
      </c>
    </row>
    <row r="56" spans="1:13" x14ac:dyDescent="0.2">
      <c r="A56" s="14">
        <v>55</v>
      </c>
      <c r="B56" s="14" t="s">
        <v>33</v>
      </c>
      <c r="C56" s="14" t="s">
        <v>126</v>
      </c>
      <c r="D56" s="14" t="s">
        <v>139</v>
      </c>
      <c r="E56" s="15">
        <v>6.1879966860486572E-2</v>
      </c>
      <c r="F56" s="15">
        <v>0.20175197790029589</v>
      </c>
      <c r="G56" s="15">
        <v>4.7643556133465044</v>
      </c>
      <c r="H56" s="16">
        <v>1.9397435975496612E-6</v>
      </c>
      <c r="I56" s="14" t="s">
        <v>124</v>
      </c>
      <c r="J56" s="14">
        <v>57</v>
      </c>
      <c r="K56" s="14">
        <f t="shared" si="6"/>
        <v>2.9687500000000002E-2</v>
      </c>
      <c r="L56" s="17">
        <f t="shared" si="7"/>
        <v>3.2669365853467982E-6</v>
      </c>
      <c r="M56" s="14" t="str">
        <f t="shared" si="8"/>
        <v>significant</v>
      </c>
    </row>
    <row r="57" spans="1:13" x14ac:dyDescent="0.2">
      <c r="A57" s="14">
        <v>56</v>
      </c>
      <c r="B57" s="14" t="s">
        <v>33</v>
      </c>
      <c r="C57" s="14" t="s">
        <v>126</v>
      </c>
      <c r="D57" s="14" t="s">
        <v>140</v>
      </c>
      <c r="E57" s="21">
        <v>-0.16800454030755821</v>
      </c>
      <c r="F57" s="21">
        <v>0.19708328832400801</v>
      </c>
      <c r="G57" s="21">
        <v>-12.93525861910457</v>
      </c>
      <c r="H57" s="21">
        <v>9.1993455493928636E-38</v>
      </c>
      <c r="I57" s="14" t="s">
        <v>124</v>
      </c>
      <c r="J57" s="14">
        <v>28</v>
      </c>
      <c r="K57" s="14">
        <f t="shared" si="6"/>
        <v>1.4583333333333335E-2</v>
      </c>
      <c r="L57" s="21">
        <f t="shared" si="7"/>
        <v>3.1540613312204104E-37</v>
      </c>
      <c r="M57" s="14" t="str">
        <f t="shared" si="8"/>
        <v>significant</v>
      </c>
    </row>
    <row r="58" spans="1:13" x14ac:dyDescent="0.2">
      <c r="A58" s="14">
        <v>57</v>
      </c>
      <c r="B58" s="14" t="s">
        <v>33</v>
      </c>
      <c r="C58" s="14" t="s">
        <v>126</v>
      </c>
      <c r="D58" s="14" t="s">
        <v>141</v>
      </c>
      <c r="E58" s="15">
        <v>-0.1512811828665693</v>
      </c>
      <c r="F58" s="15">
        <v>0.20414976336867061</v>
      </c>
      <c r="G58" s="15">
        <v>-11.647668693957851</v>
      </c>
      <c r="H58" s="16">
        <v>5.1237814652539351E-31</v>
      </c>
      <c r="I58" s="14" t="s">
        <v>124</v>
      </c>
      <c r="J58" s="14">
        <v>31</v>
      </c>
      <c r="K58" s="14">
        <f t="shared" si="6"/>
        <v>1.6145833333333335E-2</v>
      </c>
      <c r="L58" s="17">
        <f t="shared" si="7"/>
        <v>1.586719421497993E-30</v>
      </c>
      <c r="M58" s="14" t="str">
        <f t="shared" si="8"/>
        <v>significant</v>
      </c>
    </row>
    <row r="59" spans="1:13" x14ac:dyDescent="0.2">
      <c r="A59" s="14">
        <v>58</v>
      </c>
      <c r="B59" s="14" t="s">
        <v>33</v>
      </c>
      <c r="C59" s="14" t="s">
        <v>126</v>
      </c>
      <c r="D59" s="14" t="s">
        <v>142</v>
      </c>
      <c r="E59" s="15">
        <v>-0.1887804994828379</v>
      </c>
      <c r="F59" s="15">
        <v>0.19995126624862539</v>
      </c>
      <c r="G59" s="15">
        <v>-14.534872561086299</v>
      </c>
      <c r="H59" s="16">
        <v>4.6631093383847155E-47</v>
      </c>
      <c r="I59" s="14" t="s">
        <v>124</v>
      </c>
      <c r="J59" s="14">
        <v>25</v>
      </c>
      <c r="K59" s="14">
        <f t="shared" si="6"/>
        <v>1.3020833333333336E-2</v>
      </c>
      <c r="L59" s="17">
        <f t="shared" si="7"/>
        <v>1.7906339859397308E-46</v>
      </c>
      <c r="M59" s="14" t="str">
        <f t="shared" si="8"/>
        <v>significant</v>
      </c>
    </row>
    <row r="60" spans="1:13" x14ac:dyDescent="0.2">
      <c r="A60" s="14">
        <v>59</v>
      </c>
      <c r="B60" s="14" t="s">
        <v>33</v>
      </c>
      <c r="C60" s="14" t="s">
        <v>126</v>
      </c>
      <c r="D60" s="14" t="s">
        <v>143</v>
      </c>
      <c r="E60" s="15">
        <v>-0.17695498252338709</v>
      </c>
      <c r="F60" s="15">
        <v>0.20088545997407839</v>
      </c>
      <c r="G60" s="15">
        <v>-13.624384547517881</v>
      </c>
      <c r="H60" s="16">
        <v>1.209467434117463E-41</v>
      </c>
      <c r="I60" s="14" t="s">
        <v>124</v>
      </c>
      <c r="J60" s="14">
        <v>27</v>
      </c>
      <c r="K60" s="14">
        <f t="shared" si="6"/>
        <v>1.40625E-2</v>
      </c>
      <c r="L60" s="17">
        <f t="shared" si="7"/>
        <v>4.3003286546398685E-41</v>
      </c>
      <c r="M60" s="14" t="str">
        <f t="shared" si="8"/>
        <v>significant</v>
      </c>
    </row>
    <row r="61" spans="1:13" x14ac:dyDescent="0.2">
      <c r="A61" s="14">
        <v>60</v>
      </c>
      <c r="B61" s="14" t="s">
        <v>33</v>
      </c>
      <c r="C61" s="14" t="s">
        <v>126</v>
      </c>
      <c r="D61" s="14" t="s">
        <v>144</v>
      </c>
      <c r="E61" s="21">
        <v>-0.20382401231094061</v>
      </c>
      <c r="F61" s="21">
        <v>0.2021124109148161</v>
      </c>
      <c r="G61" s="21">
        <v>-15.69312535958267</v>
      </c>
      <c r="H61" s="21">
        <v>2.0736387112405009E-54</v>
      </c>
      <c r="I61" s="14" t="s">
        <v>124</v>
      </c>
      <c r="J61" s="14">
        <v>18</v>
      </c>
      <c r="K61" s="14">
        <f t="shared" si="6"/>
        <v>9.3750000000000014E-3</v>
      </c>
      <c r="L61" s="21">
        <f t="shared" si="7"/>
        <v>1.1059406459949339E-53</v>
      </c>
      <c r="M61" s="14" t="str">
        <f t="shared" si="8"/>
        <v>significant</v>
      </c>
    </row>
    <row r="62" spans="1:13" x14ac:dyDescent="0.2">
      <c r="A62" s="14">
        <v>61</v>
      </c>
      <c r="B62" s="14" t="s">
        <v>34</v>
      </c>
      <c r="C62" s="14" t="s">
        <v>126</v>
      </c>
      <c r="D62" s="14" t="s">
        <v>139</v>
      </c>
      <c r="E62" s="15">
        <v>3.2330960901391211E-2</v>
      </c>
      <c r="F62" s="15">
        <v>0.16852178503782389</v>
      </c>
      <c r="G62" s="15">
        <v>2.4892740392495152</v>
      </c>
      <c r="H62" s="16">
        <v>1.282764421786995E-2</v>
      </c>
      <c r="I62" s="14" t="s">
        <v>124</v>
      </c>
      <c r="J62" s="14">
        <v>77</v>
      </c>
      <c r="K62" s="14">
        <f t="shared" si="6"/>
        <v>4.010416666666667E-2</v>
      </c>
      <c r="L62" s="17">
        <f t="shared" si="7"/>
        <v>1.5992907076824874E-2</v>
      </c>
      <c r="M62" s="14" t="str">
        <f t="shared" si="8"/>
        <v>significant</v>
      </c>
    </row>
    <row r="63" spans="1:13" x14ac:dyDescent="0.2">
      <c r="A63" s="14">
        <v>62</v>
      </c>
      <c r="B63" s="14" t="s">
        <v>34</v>
      </c>
      <c r="C63" s="14" t="s">
        <v>126</v>
      </c>
      <c r="D63" s="14" t="s">
        <v>140</v>
      </c>
      <c r="E63" s="21">
        <v>-0.13715740459808859</v>
      </c>
      <c r="F63" s="21">
        <v>0.1687867237595517</v>
      </c>
      <c r="G63" s="21">
        <v>-10.560229483998191</v>
      </c>
      <c r="H63" s="21">
        <v>7.7189991951881874E-26</v>
      </c>
      <c r="I63" s="14" t="s">
        <v>124</v>
      </c>
      <c r="J63" s="14">
        <v>34</v>
      </c>
      <c r="K63" s="14">
        <f t="shared" si="6"/>
        <v>1.7708333333333336E-2</v>
      </c>
      <c r="L63" s="21">
        <f t="shared" si="7"/>
        <v>2.1794821257001939E-25</v>
      </c>
      <c r="M63" s="14" t="str">
        <f t="shared" si="8"/>
        <v>significant</v>
      </c>
    </row>
    <row r="64" spans="1:13" x14ac:dyDescent="0.2">
      <c r="A64" s="14">
        <v>63</v>
      </c>
      <c r="B64" s="14" t="s">
        <v>34</v>
      </c>
      <c r="C64" s="14" t="s">
        <v>126</v>
      </c>
      <c r="D64" s="14" t="s">
        <v>141</v>
      </c>
      <c r="E64" s="15">
        <v>-0.12077405860437219</v>
      </c>
      <c r="F64" s="15">
        <v>0.17737868195393389</v>
      </c>
      <c r="G64" s="15">
        <v>-9.2988182323318043</v>
      </c>
      <c r="H64" s="16">
        <v>1.954824957088312E-20</v>
      </c>
      <c r="I64" s="14" t="s">
        <v>124</v>
      </c>
      <c r="J64" s="14">
        <v>36</v>
      </c>
      <c r="K64" s="14">
        <f t="shared" si="6"/>
        <v>1.8750000000000003E-2</v>
      </c>
      <c r="L64" s="17">
        <f t="shared" si="7"/>
        <v>5.2128665522354984E-20</v>
      </c>
      <c r="M64" s="14" t="str">
        <f t="shared" si="8"/>
        <v>significant</v>
      </c>
    </row>
    <row r="65" spans="1:13" x14ac:dyDescent="0.2">
      <c r="A65" s="14">
        <v>64</v>
      </c>
      <c r="B65" s="14" t="s">
        <v>34</v>
      </c>
      <c r="C65" s="14" t="s">
        <v>126</v>
      </c>
      <c r="D65" s="14" t="s">
        <v>142</v>
      </c>
      <c r="E65" s="15">
        <v>-0.14379409032840901</v>
      </c>
      <c r="F65" s="15">
        <v>0.17282225777226909</v>
      </c>
      <c r="G65" s="15">
        <v>-11.07121118805367</v>
      </c>
      <c r="H65" s="16">
        <v>3.2663739972571071E-28</v>
      </c>
      <c r="I65" s="14" t="s">
        <v>124</v>
      </c>
      <c r="J65" s="14">
        <v>33</v>
      </c>
      <c r="K65" s="14">
        <f t="shared" si="6"/>
        <v>1.7187500000000001E-2</v>
      </c>
      <c r="L65" s="17">
        <f t="shared" si="7"/>
        <v>9.5021789011115845E-28</v>
      </c>
      <c r="M65" s="14" t="str">
        <f t="shared" si="8"/>
        <v>significant</v>
      </c>
    </row>
    <row r="66" spans="1:13" x14ac:dyDescent="0.2">
      <c r="A66" s="14">
        <v>65</v>
      </c>
      <c r="B66" s="14" t="s">
        <v>34</v>
      </c>
      <c r="C66" s="14" t="s">
        <v>126</v>
      </c>
      <c r="D66" s="14" t="s">
        <v>143</v>
      </c>
      <c r="E66" s="15">
        <v>-0.13360886833221061</v>
      </c>
      <c r="F66" s="15">
        <v>0.17348214607499879</v>
      </c>
      <c r="G66" s="15">
        <v>-10.287015234940551</v>
      </c>
      <c r="H66" s="16">
        <v>1.297449768716618E-24</v>
      </c>
      <c r="I66" s="14" t="s">
        <v>124</v>
      </c>
      <c r="J66" s="14">
        <v>35</v>
      </c>
      <c r="K66" s="14">
        <f t="shared" si="6"/>
        <v>1.8229166666666668E-2</v>
      </c>
      <c r="L66" s="17">
        <f t="shared" si="7"/>
        <v>3.5587193656227236E-24</v>
      </c>
      <c r="M66" s="14" t="str">
        <f t="shared" si="8"/>
        <v>significant</v>
      </c>
    </row>
    <row r="67" spans="1:13" x14ac:dyDescent="0.2">
      <c r="A67" s="14">
        <v>66</v>
      </c>
      <c r="B67" s="14" t="s">
        <v>34</v>
      </c>
      <c r="C67" s="14" t="s">
        <v>126</v>
      </c>
      <c r="D67" s="14" t="s">
        <v>144</v>
      </c>
      <c r="E67" s="21">
        <v>-0.1473254043140573</v>
      </c>
      <c r="F67" s="21">
        <v>0.17651363752382421</v>
      </c>
      <c r="G67" s="21">
        <v>-11.34309943337133</v>
      </c>
      <c r="H67" s="21">
        <v>1.614501258618078E-29</v>
      </c>
      <c r="I67" s="14" t="s">
        <v>124</v>
      </c>
      <c r="J67" s="14">
        <v>32</v>
      </c>
      <c r="K67" s="14">
        <f t="shared" si="6"/>
        <v>1.6666666666666666E-2</v>
      </c>
      <c r="L67" s="21">
        <f t="shared" si="7"/>
        <v>4.8435037758542339E-29</v>
      </c>
      <c r="M67" s="14" t="str">
        <f t="shared" si="8"/>
        <v>significant</v>
      </c>
    </row>
    <row r="68" spans="1:13" x14ac:dyDescent="0.2">
      <c r="A68" s="14">
        <v>67</v>
      </c>
      <c r="B68" s="14" t="s">
        <v>35</v>
      </c>
      <c r="C68" s="14" t="s">
        <v>126</v>
      </c>
      <c r="D68" s="14" t="s">
        <v>139</v>
      </c>
      <c r="E68" s="15">
        <v>2.6382988744915539E-2</v>
      </c>
      <c r="F68" s="15">
        <v>0.1483520080214551</v>
      </c>
      <c r="G68" s="15">
        <v>2.0313188080254192</v>
      </c>
      <c r="H68" s="16">
        <v>4.2267195299792629E-2</v>
      </c>
      <c r="I68" s="14" t="s">
        <v>124</v>
      </c>
      <c r="J68" s="14">
        <v>79</v>
      </c>
      <c r="K68" s="14">
        <f t="shared" ref="K68:K99" si="9">J68/96*0.05</f>
        <v>4.1145833333333333E-2</v>
      </c>
      <c r="L68" s="17">
        <f t="shared" ref="L68:L97" si="10">H68*96/J68</f>
        <v>5.1362667706077121E-2</v>
      </c>
      <c r="M68" s="14" t="str">
        <f t="shared" ref="M68:M97" si="11">IF(H68&lt;=K68, "significant", "non-significant")</f>
        <v>non-significant</v>
      </c>
    </row>
    <row r="69" spans="1:13" x14ac:dyDescent="0.2">
      <c r="A69" s="14">
        <v>68</v>
      </c>
      <c r="B69" s="14" t="s">
        <v>35</v>
      </c>
      <c r="C69" s="14" t="s">
        <v>126</v>
      </c>
      <c r="D69" s="14" t="s">
        <v>140</v>
      </c>
      <c r="E69" s="21">
        <v>-0.1048905689204155</v>
      </c>
      <c r="F69" s="21">
        <v>0.14980656169100751</v>
      </c>
      <c r="G69" s="21">
        <v>-8.0758926705598491</v>
      </c>
      <c r="H69" s="21">
        <v>8.0480334169404337E-16</v>
      </c>
      <c r="I69" s="14" t="s">
        <v>124</v>
      </c>
      <c r="J69" s="14">
        <v>38</v>
      </c>
      <c r="K69" s="14">
        <f t="shared" si="9"/>
        <v>1.9791666666666666E-2</v>
      </c>
      <c r="L69" s="21">
        <f t="shared" si="10"/>
        <v>2.0331873895428463E-15</v>
      </c>
      <c r="M69" s="14" t="str">
        <f t="shared" si="11"/>
        <v>significant</v>
      </c>
    </row>
    <row r="70" spans="1:13" x14ac:dyDescent="0.2">
      <c r="A70" s="14">
        <v>69</v>
      </c>
      <c r="B70" s="14" t="s">
        <v>35</v>
      </c>
      <c r="C70" s="14" t="s">
        <v>126</v>
      </c>
      <c r="D70" s="14" t="s">
        <v>141</v>
      </c>
      <c r="E70" s="15">
        <v>-9.3898980643649488E-2</v>
      </c>
      <c r="F70" s="15">
        <v>0.16038950475816791</v>
      </c>
      <c r="G70" s="15">
        <v>-7.2296117502084991</v>
      </c>
      <c r="H70" s="16">
        <v>5.4553846612958102E-13</v>
      </c>
      <c r="I70" s="14" t="s">
        <v>124</v>
      </c>
      <c r="J70" s="14">
        <v>44</v>
      </c>
      <c r="K70" s="14">
        <f t="shared" si="9"/>
        <v>2.2916666666666669E-2</v>
      </c>
      <c r="L70" s="17">
        <f t="shared" si="10"/>
        <v>1.1902657442827224E-12</v>
      </c>
      <c r="M70" s="14" t="str">
        <f t="shared" si="11"/>
        <v>significant</v>
      </c>
    </row>
    <row r="71" spans="1:13" x14ac:dyDescent="0.2">
      <c r="A71" s="14">
        <v>70</v>
      </c>
      <c r="B71" s="14" t="s">
        <v>35</v>
      </c>
      <c r="C71" s="14" t="s">
        <v>126</v>
      </c>
      <c r="D71" s="14" t="s">
        <v>142</v>
      </c>
      <c r="E71" s="15">
        <v>-0.1000368225761693</v>
      </c>
      <c r="F71" s="15">
        <v>0.1548656365731409</v>
      </c>
      <c r="G71" s="15">
        <v>-7.7021857212153808</v>
      </c>
      <c r="H71" s="16">
        <v>1.557788146143362E-14</v>
      </c>
      <c r="I71" s="14" t="s">
        <v>124</v>
      </c>
      <c r="J71" s="14">
        <v>42</v>
      </c>
      <c r="K71" s="14">
        <f t="shared" si="9"/>
        <v>2.1875000000000002E-2</v>
      </c>
      <c r="L71" s="17">
        <f t="shared" si="10"/>
        <v>3.560658619756256E-14</v>
      </c>
      <c r="M71" s="14" t="str">
        <f t="shared" si="11"/>
        <v>significant</v>
      </c>
    </row>
    <row r="72" spans="1:13" x14ac:dyDescent="0.2">
      <c r="A72" s="14">
        <v>71</v>
      </c>
      <c r="B72" s="14" t="s">
        <v>35</v>
      </c>
      <c r="C72" s="14" t="s">
        <v>126</v>
      </c>
      <c r="D72" s="14" t="s">
        <v>143</v>
      </c>
      <c r="E72" s="15">
        <v>-9.8410059470149261E-2</v>
      </c>
      <c r="F72" s="15">
        <v>0.1547048343112111</v>
      </c>
      <c r="G72" s="15">
        <v>-7.5769355258940783</v>
      </c>
      <c r="H72" s="16">
        <v>4.0816819027622218E-14</v>
      </c>
      <c r="I72" s="14" t="s">
        <v>124</v>
      </c>
      <c r="J72" s="14">
        <v>43</v>
      </c>
      <c r="K72" s="14">
        <f t="shared" si="9"/>
        <v>2.2395833333333337E-2</v>
      </c>
      <c r="L72" s="17">
        <f t="shared" si="10"/>
        <v>9.1125921550040304E-14</v>
      </c>
      <c r="M72" s="14" t="str">
        <f t="shared" si="11"/>
        <v>significant</v>
      </c>
    </row>
    <row r="73" spans="1:13" x14ac:dyDescent="0.2">
      <c r="A73" s="14">
        <v>72</v>
      </c>
      <c r="B73" s="14" t="s">
        <v>35</v>
      </c>
      <c r="C73" s="14" t="s">
        <v>126</v>
      </c>
      <c r="D73" s="14" t="s">
        <v>144</v>
      </c>
      <c r="E73" s="21">
        <v>-0.10365514110038231</v>
      </c>
      <c r="F73" s="21">
        <v>0.16025111870991099</v>
      </c>
      <c r="G73" s="21">
        <v>-7.9807727510141602</v>
      </c>
      <c r="H73" s="21">
        <v>1.732664521842599E-15</v>
      </c>
      <c r="I73" s="14" t="s">
        <v>124</v>
      </c>
      <c r="J73" s="14">
        <v>39</v>
      </c>
      <c r="K73" s="14">
        <f t="shared" si="9"/>
        <v>2.0312500000000001E-2</v>
      </c>
      <c r="L73" s="21">
        <f t="shared" si="10"/>
        <v>4.2650203614587048E-15</v>
      </c>
      <c r="M73" s="14" t="str">
        <f t="shared" si="11"/>
        <v>significant</v>
      </c>
    </row>
    <row r="74" spans="1:13" x14ac:dyDescent="0.2">
      <c r="A74" s="14">
        <v>73</v>
      </c>
      <c r="B74" s="14" t="s">
        <v>36</v>
      </c>
      <c r="C74" s="14" t="s">
        <v>126</v>
      </c>
      <c r="D74" s="14" t="s">
        <v>139</v>
      </c>
      <c r="E74" s="15">
        <v>3.8510392773671458E-2</v>
      </c>
      <c r="F74" s="15">
        <v>0.23550006764982909</v>
      </c>
      <c r="G74" s="15">
        <v>2.9650501655420181</v>
      </c>
      <c r="H74" s="16">
        <v>3.038395123428394E-3</v>
      </c>
      <c r="I74" s="14" t="s">
        <v>124</v>
      </c>
      <c r="J74" s="14">
        <v>72</v>
      </c>
      <c r="K74" s="14">
        <f t="shared" si="9"/>
        <v>3.7500000000000006E-2</v>
      </c>
      <c r="L74" s="17">
        <f t="shared" si="10"/>
        <v>4.0511934979045256E-3</v>
      </c>
      <c r="M74" s="14" t="str">
        <f t="shared" si="11"/>
        <v>significant</v>
      </c>
    </row>
    <row r="75" spans="1:13" x14ac:dyDescent="0.2">
      <c r="A75" s="14">
        <v>74</v>
      </c>
      <c r="B75" s="14" t="s">
        <v>36</v>
      </c>
      <c r="C75" s="14" t="s">
        <v>126</v>
      </c>
      <c r="D75" s="14" t="s">
        <v>140</v>
      </c>
      <c r="E75" s="21">
        <v>-0.22844522496786579</v>
      </c>
      <c r="F75" s="21">
        <v>0.21744511651619361</v>
      </c>
      <c r="G75" s="21">
        <v>-17.588798849419721</v>
      </c>
      <c r="H75" s="21">
        <v>1.523696037970199E-67</v>
      </c>
      <c r="I75" s="14" t="s">
        <v>124</v>
      </c>
      <c r="J75" s="14">
        <v>13</v>
      </c>
      <c r="K75" s="14">
        <f t="shared" si="9"/>
        <v>6.7708333333333336E-3</v>
      </c>
      <c r="L75" s="21">
        <f t="shared" si="10"/>
        <v>1.1251909203472239E-66</v>
      </c>
      <c r="M75" s="14" t="str">
        <f t="shared" si="11"/>
        <v>significant</v>
      </c>
    </row>
    <row r="76" spans="1:13" x14ac:dyDescent="0.2">
      <c r="A76" s="14">
        <v>75</v>
      </c>
      <c r="B76" s="14" t="s">
        <v>36</v>
      </c>
      <c r="C76" s="14" t="s">
        <v>126</v>
      </c>
      <c r="D76" s="14" t="s">
        <v>141</v>
      </c>
      <c r="E76" s="15">
        <v>-0.21223834063748059</v>
      </c>
      <c r="F76" s="15">
        <v>0.2226719262857926</v>
      </c>
      <c r="G76" s="15">
        <v>-16.340973999926561</v>
      </c>
      <c r="H76" s="16">
        <v>9.562133186690427E-59</v>
      </c>
      <c r="I76" s="14" t="s">
        <v>124</v>
      </c>
      <c r="J76" s="14">
        <v>15</v>
      </c>
      <c r="K76" s="14">
        <f t="shared" si="9"/>
        <v>7.8125E-3</v>
      </c>
      <c r="L76" s="17">
        <f t="shared" si="10"/>
        <v>6.1197652394818731E-58</v>
      </c>
      <c r="M76" s="14" t="str">
        <f t="shared" si="11"/>
        <v>significant</v>
      </c>
    </row>
    <row r="77" spans="1:13" x14ac:dyDescent="0.2">
      <c r="A77" s="14">
        <v>76</v>
      </c>
      <c r="B77" s="14" t="s">
        <v>36</v>
      </c>
      <c r="C77" s="14" t="s">
        <v>126</v>
      </c>
      <c r="D77" s="14" t="s">
        <v>142</v>
      </c>
      <c r="E77" s="15">
        <v>-0.24509615833026061</v>
      </c>
      <c r="F77" s="15">
        <v>0.2180299338617927</v>
      </c>
      <c r="G77" s="15">
        <v>-18.870812590820751</v>
      </c>
      <c r="H77" s="16">
        <v>3.4976893479071493E-77</v>
      </c>
      <c r="I77" s="14" t="s">
        <v>124</v>
      </c>
      <c r="J77" s="14">
        <v>8</v>
      </c>
      <c r="K77" s="14">
        <f t="shared" si="9"/>
        <v>4.1666666666666666E-3</v>
      </c>
      <c r="L77" s="17">
        <f t="shared" si="10"/>
        <v>4.1972272174885792E-76</v>
      </c>
      <c r="M77" s="14" t="str">
        <f t="shared" si="11"/>
        <v>significant</v>
      </c>
    </row>
    <row r="78" spans="1:13" x14ac:dyDescent="0.2">
      <c r="A78" s="14">
        <v>77</v>
      </c>
      <c r="B78" s="14" t="s">
        <v>36</v>
      </c>
      <c r="C78" s="14" t="s">
        <v>126</v>
      </c>
      <c r="D78" s="14" t="s">
        <v>143</v>
      </c>
      <c r="E78" s="15">
        <v>-0.24493195603308429</v>
      </c>
      <c r="F78" s="15">
        <v>0.22104654692632561</v>
      </c>
      <c r="G78" s="15">
        <v>-18.858170080231819</v>
      </c>
      <c r="H78" s="16">
        <v>4.382927972556506E-77</v>
      </c>
      <c r="I78" s="14" t="s">
        <v>124</v>
      </c>
      <c r="J78" s="14">
        <v>9</v>
      </c>
      <c r="K78" s="14">
        <f t="shared" si="9"/>
        <v>4.6875000000000007E-3</v>
      </c>
      <c r="L78" s="17">
        <f t="shared" si="10"/>
        <v>4.6751231707269398E-76</v>
      </c>
      <c r="M78" s="14" t="str">
        <f t="shared" si="11"/>
        <v>significant</v>
      </c>
    </row>
    <row r="79" spans="1:13" x14ac:dyDescent="0.2">
      <c r="A79" s="14">
        <v>78</v>
      </c>
      <c r="B79" s="14" t="s">
        <v>36</v>
      </c>
      <c r="C79" s="14" t="s">
        <v>126</v>
      </c>
      <c r="D79" s="14" t="s">
        <v>144</v>
      </c>
      <c r="E79" s="21">
        <v>-0.26155906433752568</v>
      </c>
      <c r="F79" s="21">
        <v>0.22033628343361</v>
      </c>
      <c r="G79" s="21">
        <v>-20.13834944688513</v>
      </c>
      <c r="H79" s="21">
        <v>2.6829723399245552E-87</v>
      </c>
      <c r="I79" s="14" t="s">
        <v>124</v>
      </c>
      <c r="J79" s="14">
        <v>1</v>
      </c>
      <c r="K79" s="14">
        <f t="shared" si="9"/>
        <v>5.2083333333333333E-4</v>
      </c>
      <c r="L79" s="21">
        <f t="shared" si="10"/>
        <v>2.5756534463275729E-85</v>
      </c>
      <c r="M79" s="14" t="str">
        <f t="shared" si="11"/>
        <v>significant</v>
      </c>
    </row>
    <row r="80" spans="1:13" x14ac:dyDescent="0.2">
      <c r="A80" s="14">
        <v>79</v>
      </c>
      <c r="B80" s="14" t="s">
        <v>37</v>
      </c>
      <c r="C80" s="14" t="s">
        <v>126</v>
      </c>
      <c r="D80" s="14" t="s">
        <v>139</v>
      </c>
      <c r="E80" s="15">
        <v>-1.784929664336404E-2</v>
      </c>
      <c r="F80" s="15">
        <v>0.19699022587786841</v>
      </c>
      <c r="G80" s="15">
        <v>-1.3742799321277741</v>
      </c>
      <c r="H80" s="16">
        <v>0.16940675550775849</v>
      </c>
      <c r="I80" s="14" t="s">
        <v>136</v>
      </c>
      <c r="J80" s="14">
        <v>85</v>
      </c>
      <c r="K80" s="14">
        <f t="shared" si="9"/>
        <v>4.4270833333333336E-2</v>
      </c>
      <c r="L80" s="17">
        <f t="shared" si="10"/>
        <v>0.19132998269111545</v>
      </c>
      <c r="M80" s="14" t="str">
        <f t="shared" si="11"/>
        <v>non-significant</v>
      </c>
    </row>
    <row r="81" spans="1:13" x14ac:dyDescent="0.2">
      <c r="A81" s="14">
        <v>80</v>
      </c>
      <c r="B81" s="14" t="s">
        <v>37</v>
      </c>
      <c r="C81" s="14" t="s">
        <v>126</v>
      </c>
      <c r="D81" s="14" t="s">
        <v>140</v>
      </c>
      <c r="E81" s="21">
        <v>-0.19818144840972349</v>
      </c>
      <c r="F81" s="21">
        <v>0.1936393427700904</v>
      </c>
      <c r="G81" s="21">
        <v>-15.258684580759359</v>
      </c>
      <c r="H81" s="21">
        <v>1.3640921043586799E-51</v>
      </c>
      <c r="I81" s="14" t="s">
        <v>124</v>
      </c>
      <c r="J81" s="14">
        <v>22</v>
      </c>
      <c r="K81" s="14">
        <f t="shared" si="9"/>
        <v>1.1458333333333334E-2</v>
      </c>
      <c r="L81" s="21">
        <f t="shared" si="10"/>
        <v>5.9524019099287855E-51</v>
      </c>
      <c r="M81" s="14" t="str">
        <f t="shared" si="11"/>
        <v>significant</v>
      </c>
    </row>
    <row r="82" spans="1:13" x14ac:dyDescent="0.2">
      <c r="A82" s="14">
        <v>81</v>
      </c>
      <c r="B82" s="14" t="s">
        <v>37</v>
      </c>
      <c r="C82" s="14" t="s">
        <v>126</v>
      </c>
      <c r="D82" s="14" t="s">
        <v>141</v>
      </c>
      <c r="E82" s="15">
        <v>-0.1921806466037308</v>
      </c>
      <c r="F82" s="15">
        <v>0.20045401329694021</v>
      </c>
      <c r="G82" s="15">
        <v>-14.796661809586601</v>
      </c>
      <c r="H82" s="16">
        <v>1.127858253753237E-48</v>
      </c>
      <c r="I82" s="14" t="s">
        <v>124</v>
      </c>
      <c r="J82" s="14">
        <v>24</v>
      </c>
      <c r="K82" s="14">
        <f t="shared" si="9"/>
        <v>1.2500000000000001E-2</v>
      </c>
      <c r="L82" s="17">
        <f t="shared" si="10"/>
        <v>4.5114330150129481E-48</v>
      </c>
      <c r="M82" s="14" t="str">
        <f t="shared" si="11"/>
        <v>significant</v>
      </c>
    </row>
    <row r="83" spans="1:13" x14ac:dyDescent="0.2">
      <c r="A83" s="14">
        <v>82</v>
      </c>
      <c r="B83" s="14" t="s">
        <v>37</v>
      </c>
      <c r="C83" s="14" t="s">
        <v>126</v>
      </c>
      <c r="D83" s="14" t="s">
        <v>142</v>
      </c>
      <c r="E83" s="15">
        <v>-0.20093355315378331</v>
      </c>
      <c r="F83" s="15">
        <v>0.1986457784877235</v>
      </c>
      <c r="G83" s="15">
        <v>-15.470578774488351</v>
      </c>
      <c r="H83" s="16">
        <v>5.8799374090802712E-53</v>
      </c>
      <c r="I83" s="14" t="s">
        <v>124</v>
      </c>
      <c r="J83" s="14">
        <v>20</v>
      </c>
      <c r="K83" s="14">
        <f t="shared" si="9"/>
        <v>1.0416666666666668E-2</v>
      </c>
      <c r="L83" s="17">
        <f t="shared" si="10"/>
        <v>2.8223699563585305E-52</v>
      </c>
      <c r="M83" s="14" t="str">
        <f t="shared" si="11"/>
        <v>significant</v>
      </c>
    </row>
    <row r="84" spans="1:13" x14ac:dyDescent="0.2">
      <c r="A84" s="14">
        <v>83</v>
      </c>
      <c r="B84" s="14" t="s">
        <v>37</v>
      </c>
      <c r="C84" s="14" t="s">
        <v>126</v>
      </c>
      <c r="D84" s="14" t="s">
        <v>143</v>
      </c>
      <c r="E84" s="15">
        <v>-0.19218101323300421</v>
      </c>
      <c r="F84" s="15">
        <v>0.19927432828978561</v>
      </c>
      <c r="G84" s="15">
        <v>-14.796690037659831</v>
      </c>
      <c r="H84" s="16">
        <v>1.127401986433503E-48</v>
      </c>
      <c r="I84" s="14" t="s">
        <v>124</v>
      </c>
      <c r="J84" s="14">
        <v>23</v>
      </c>
      <c r="K84" s="14">
        <f t="shared" si="9"/>
        <v>1.1979166666666667E-2</v>
      </c>
      <c r="L84" s="17">
        <f t="shared" si="10"/>
        <v>4.7056778564180991E-48</v>
      </c>
      <c r="M84" s="14" t="str">
        <f t="shared" si="11"/>
        <v>significant</v>
      </c>
    </row>
    <row r="85" spans="1:13" x14ac:dyDescent="0.2">
      <c r="A85" s="14">
        <v>84</v>
      </c>
      <c r="B85" s="14" t="s">
        <v>37</v>
      </c>
      <c r="C85" s="14" t="s">
        <v>126</v>
      </c>
      <c r="D85" s="14" t="s">
        <v>144</v>
      </c>
      <c r="E85" s="21">
        <v>-0.21171560415913521</v>
      </c>
      <c r="F85" s="21">
        <v>0.19890362344620821</v>
      </c>
      <c r="G85" s="21">
        <v>-16.300726685629819</v>
      </c>
      <c r="H85" s="21">
        <v>1.797122168627805E-58</v>
      </c>
      <c r="I85" s="14" t="s">
        <v>124</v>
      </c>
      <c r="J85" s="14">
        <v>16</v>
      </c>
      <c r="K85" s="14">
        <f t="shared" si="9"/>
        <v>8.3333333333333332E-3</v>
      </c>
      <c r="L85" s="21">
        <f t="shared" si="10"/>
        <v>1.0782733011766829E-57</v>
      </c>
      <c r="M85" s="14" t="str">
        <f t="shared" si="11"/>
        <v>significant</v>
      </c>
    </row>
    <row r="86" spans="1:13" x14ac:dyDescent="0.2">
      <c r="A86" s="14">
        <v>85</v>
      </c>
      <c r="B86" s="14" t="s">
        <v>38</v>
      </c>
      <c r="C86" s="14" t="s">
        <v>126</v>
      </c>
      <c r="D86" s="14" t="s">
        <v>139</v>
      </c>
      <c r="E86" s="15">
        <v>7.8710911452156099E-2</v>
      </c>
      <c r="F86" s="15">
        <v>0.2287929570847477</v>
      </c>
      <c r="G86" s="15">
        <v>6.0602290504483118</v>
      </c>
      <c r="H86" s="16">
        <v>1.4429180039760839E-9</v>
      </c>
      <c r="I86" s="14" t="s">
        <v>124</v>
      </c>
      <c r="J86" s="14">
        <v>50</v>
      </c>
      <c r="K86" s="14">
        <f t="shared" si="9"/>
        <v>2.6041666666666671E-2</v>
      </c>
      <c r="L86" s="17">
        <f t="shared" si="10"/>
        <v>2.770402567634081E-9</v>
      </c>
      <c r="M86" s="14" t="str">
        <f t="shared" si="11"/>
        <v>significant</v>
      </c>
    </row>
    <row r="87" spans="1:13" x14ac:dyDescent="0.2">
      <c r="A87" s="14">
        <v>86</v>
      </c>
      <c r="B87" s="14" t="s">
        <v>38</v>
      </c>
      <c r="C87" s="14" t="s">
        <v>126</v>
      </c>
      <c r="D87" s="14" t="s">
        <v>140</v>
      </c>
      <c r="E87" s="21">
        <v>-0.2062179756839225</v>
      </c>
      <c r="F87" s="21">
        <v>0.21332798176355641</v>
      </c>
      <c r="G87" s="21">
        <v>-15.87744499343003</v>
      </c>
      <c r="H87" s="21">
        <v>1.256871750659305E-55</v>
      </c>
      <c r="I87" s="14" t="s">
        <v>124</v>
      </c>
      <c r="J87" s="14">
        <v>17</v>
      </c>
      <c r="K87" s="14">
        <f t="shared" si="9"/>
        <v>8.8541666666666682E-3</v>
      </c>
      <c r="L87" s="21">
        <f t="shared" si="10"/>
        <v>7.0976287096054865E-55</v>
      </c>
      <c r="M87" s="14" t="str">
        <f t="shared" si="11"/>
        <v>significant</v>
      </c>
    </row>
    <row r="88" spans="1:13" x14ac:dyDescent="0.2">
      <c r="A88" s="14">
        <v>87</v>
      </c>
      <c r="B88" s="14" t="s">
        <v>38</v>
      </c>
      <c r="C88" s="14" t="s">
        <v>126</v>
      </c>
      <c r="D88" s="14" t="s">
        <v>141</v>
      </c>
      <c r="E88" s="15">
        <v>-0.18431746142026259</v>
      </c>
      <c r="F88" s="15">
        <v>0.2199078220291083</v>
      </c>
      <c r="G88" s="15">
        <v>-14.191247612256729</v>
      </c>
      <c r="H88" s="16">
        <v>5.6230898681649972E-45</v>
      </c>
      <c r="I88" s="14" t="s">
        <v>124</v>
      </c>
      <c r="J88" s="14">
        <v>26</v>
      </c>
      <c r="K88" s="14">
        <f t="shared" si="9"/>
        <v>1.3541666666666667E-2</v>
      </c>
      <c r="L88" s="17">
        <f t="shared" si="10"/>
        <v>2.0762177974763065E-44</v>
      </c>
      <c r="M88" s="14" t="str">
        <f t="shared" si="11"/>
        <v>significant</v>
      </c>
    </row>
    <row r="89" spans="1:13" x14ac:dyDescent="0.2">
      <c r="A89" s="14">
        <v>88</v>
      </c>
      <c r="B89" s="14" t="s">
        <v>38</v>
      </c>
      <c r="C89" s="14" t="s">
        <v>126</v>
      </c>
      <c r="D89" s="14" t="s">
        <v>142</v>
      </c>
      <c r="E89" s="15">
        <v>-0.22913884730269779</v>
      </c>
      <c r="F89" s="15">
        <v>0.21383495254580309</v>
      </c>
      <c r="G89" s="15">
        <v>-17.642203264970711</v>
      </c>
      <c r="H89" s="16">
        <v>6.2147101814834579E-68</v>
      </c>
      <c r="I89" s="14" t="s">
        <v>124</v>
      </c>
      <c r="J89" s="14">
        <v>12</v>
      </c>
      <c r="K89" s="14">
        <f t="shared" si="9"/>
        <v>6.2500000000000003E-3</v>
      </c>
      <c r="L89" s="17">
        <f t="shared" si="10"/>
        <v>4.971768145186767E-67</v>
      </c>
      <c r="M89" s="14" t="str">
        <f t="shared" si="11"/>
        <v>significant</v>
      </c>
    </row>
    <row r="90" spans="1:13" x14ac:dyDescent="0.2">
      <c r="A90" s="14">
        <v>89</v>
      </c>
      <c r="B90" s="14" t="s">
        <v>38</v>
      </c>
      <c r="C90" s="14" t="s">
        <v>126</v>
      </c>
      <c r="D90" s="14" t="s">
        <v>143</v>
      </c>
      <c r="E90" s="15">
        <v>-0.2261687816122909</v>
      </c>
      <c r="F90" s="15">
        <v>0.21587087512858039</v>
      </c>
      <c r="G90" s="15">
        <v>-17.41352749376351</v>
      </c>
      <c r="H90" s="16">
        <v>2.8426408168511758E-66</v>
      </c>
      <c r="I90" s="14" t="s">
        <v>124</v>
      </c>
      <c r="J90" s="14">
        <v>14</v>
      </c>
      <c r="K90" s="14">
        <f t="shared" si="9"/>
        <v>7.2916666666666676E-3</v>
      </c>
      <c r="L90" s="17">
        <f t="shared" si="10"/>
        <v>1.9492394172693777E-65</v>
      </c>
      <c r="M90" s="14" t="str">
        <f t="shared" si="11"/>
        <v>significant</v>
      </c>
    </row>
    <row r="91" spans="1:13" x14ac:dyDescent="0.2">
      <c r="A91" s="14">
        <v>90</v>
      </c>
      <c r="B91" s="14" t="s">
        <v>38</v>
      </c>
      <c r="C91" s="14" t="s">
        <v>126</v>
      </c>
      <c r="D91" s="14" t="s">
        <v>144</v>
      </c>
      <c r="E91" s="21">
        <v>-0.2462035794010711</v>
      </c>
      <c r="F91" s="21">
        <v>0.21473784976657581</v>
      </c>
      <c r="G91" s="21">
        <v>-18.956076821924</v>
      </c>
      <c r="H91" s="21">
        <v>7.6111216071429564E-78</v>
      </c>
      <c r="I91" s="14" t="s">
        <v>124</v>
      </c>
      <c r="J91" s="14">
        <v>7</v>
      </c>
      <c r="K91" s="14">
        <f t="shared" si="9"/>
        <v>3.6458333333333338E-3</v>
      </c>
      <c r="L91" s="21">
        <f t="shared" si="10"/>
        <v>1.0438109632653197E-76</v>
      </c>
      <c r="M91" s="14" t="str">
        <f t="shared" si="11"/>
        <v>significant</v>
      </c>
    </row>
    <row r="92" spans="1:13" x14ac:dyDescent="0.2">
      <c r="A92" s="14">
        <v>91</v>
      </c>
      <c r="B92" s="14" t="s">
        <v>40</v>
      </c>
      <c r="C92" s="14" t="s">
        <v>126</v>
      </c>
      <c r="D92" s="14" t="s">
        <v>139</v>
      </c>
      <c r="E92" s="15">
        <v>-0.16766245211274769</v>
      </c>
      <c r="F92" s="15">
        <v>0.2085294466301911</v>
      </c>
      <c r="G92" s="15">
        <v>-12.90892004954974</v>
      </c>
      <c r="H92" s="16">
        <v>1.283421331200685E-37</v>
      </c>
      <c r="I92" s="14" t="s">
        <v>124</v>
      </c>
      <c r="J92" s="14">
        <v>29</v>
      </c>
      <c r="K92" s="14">
        <f t="shared" si="9"/>
        <v>1.5104166666666667E-2</v>
      </c>
      <c r="L92" s="17">
        <f t="shared" si="10"/>
        <v>4.2485671653539919E-37</v>
      </c>
      <c r="M92" s="14" t="str">
        <f t="shared" si="11"/>
        <v>significant</v>
      </c>
    </row>
    <row r="93" spans="1:13" x14ac:dyDescent="0.2">
      <c r="A93" s="14">
        <v>92</v>
      </c>
      <c r="B93" s="14" t="s">
        <v>40</v>
      </c>
      <c r="C93" s="14" t="s">
        <v>126</v>
      </c>
      <c r="D93" s="14" t="s">
        <v>140</v>
      </c>
      <c r="E93" s="21">
        <v>-0.25795859590977649</v>
      </c>
      <c r="F93" s="21">
        <v>0.20576510802343559</v>
      </c>
      <c r="G93" s="21">
        <v>-19.861136758599461</v>
      </c>
      <c r="H93" s="21">
        <v>4.8956082907879508E-85</v>
      </c>
      <c r="I93" s="14" t="s">
        <v>124</v>
      </c>
      <c r="J93" s="14">
        <v>3</v>
      </c>
      <c r="K93" s="14">
        <f t="shared" si="9"/>
        <v>1.5625000000000001E-3</v>
      </c>
      <c r="L93" s="21">
        <f t="shared" si="10"/>
        <v>1.5665946530521441E-83</v>
      </c>
      <c r="M93" s="14" t="str">
        <f t="shared" si="11"/>
        <v>significant</v>
      </c>
    </row>
    <row r="94" spans="1:13" x14ac:dyDescent="0.2">
      <c r="A94" s="14">
        <v>93</v>
      </c>
      <c r="B94" s="14" t="s">
        <v>40</v>
      </c>
      <c r="C94" s="14" t="s">
        <v>126</v>
      </c>
      <c r="D94" s="14" t="s">
        <v>141</v>
      </c>
      <c r="E94" s="15">
        <v>-0.25546085494274778</v>
      </c>
      <c r="F94" s="15">
        <v>0.20462715962738509</v>
      </c>
      <c r="G94" s="15">
        <v>-19.66882692391939</v>
      </c>
      <c r="H94" s="16">
        <v>1.747535950408712E-83</v>
      </c>
      <c r="I94" s="14" t="s">
        <v>124</v>
      </c>
      <c r="J94" s="14">
        <v>6</v>
      </c>
      <c r="K94" s="14">
        <f t="shared" si="9"/>
        <v>3.1250000000000002E-3</v>
      </c>
      <c r="L94" s="17">
        <f t="shared" si="10"/>
        <v>2.7960575206539391E-82</v>
      </c>
      <c r="M94" s="14" t="str">
        <f t="shared" si="11"/>
        <v>significant</v>
      </c>
    </row>
    <row r="95" spans="1:13" x14ac:dyDescent="0.2">
      <c r="A95" s="14">
        <v>94</v>
      </c>
      <c r="B95" s="14" t="s">
        <v>40</v>
      </c>
      <c r="C95" s="14" t="s">
        <v>126</v>
      </c>
      <c r="D95" s="14" t="s">
        <v>142</v>
      </c>
      <c r="E95" s="15">
        <v>-0.25807147620659338</v>
      </c>
      <c r="F95" s="15">
        <v>0.20639803220480191</v>
      </c>
      <c r="G95" s="15">
        <v>-19.869827808434511</v>
      </c>
      <c r="H95" s="16">
        <v>4.162253732705469E-85</v>
      </c>
      <c r="I95" s="14" t="s">
        <v>124</v>
      </c>
      <c r="J95" s="14">
        <v>2</v>
      </c>
      <c r="K95" s="14">
        <f t="shared" si="9"/>
        <v>1.0416666666666667E-3</v>
      </c>
      <c r="L95" s="17">
        <f t="shared" si="10"/>
        <v>1.997881791698625E-83</v>
      </c>
      <c r="M95" s="14" t="str">
        <f t="shared" si="11"/>
        <v>significant</v>
      </c>
    </row>
    <row r="96" spans="1:13" x14ac:dyDescent="0.2">
      <c r="A96" s="14">
        <v>95</v>
      </c>
      <c r="B96" s="14" t="s">
        <v>40</v>
      </c>
      <c r="C96" s="14" t="s">
        <v>126</v>
      </c>
      <c r="D96" s="14" t="s">
        <v>143</v>
      </c>
      <c r="E96" s="15">
        <v>-0.25548352694125342</v>
      </c>
      <c r="F96" s="15">
        <v>0.20864848946888201</v>
      </c>
      <c r="G96" s="15">
        <v>-19.670572520577341</v>
      </c>
      <c r="H96" s="16">
        <v>1.691968291780867E-83</v>
      </c>
      <c r="I96" s="14" t="s">
        <v>124</v>
      </c>
      <c r="J96" s="14">
        <v>5</v>
      </c>
      <c r="K96" s="14">
        <f t="shared" si="9"/>
        <v>2.604166666666667E-3</v>
      </c>
      <c r="L96" s="17">
        <f t="shared" si="10"/>
        <v>3.2485791202192647E-82</v>
      </c>
      <c r="M96" s="14" t="str">
        <f t="shared" si="11"/>
        <v>significant</v>
      </c>
    </row>
    <row r="97" spans="1:20" x14ac:dyDescent="0.2">
      <c r="A97" s="14">
        <v>96</v>
      </c>
      <c r="B97" s="14" t="s">
        <v>40</v>
      </c>
      <c r="C97" s="14" t="s">
        <v>126</v>
      </c>
      <c r="D97" s="14" t="s">
        <v>144</v>
      </c>
      <c r="E97" s="21">
        <v>-0.25656218942232212</v>
      </c>
      <c r="F97" s="21">
        <v>0.2070143293035176</v>
      </c>
      <c r="G97" s="21">
        <v>-19.75362252702244</v>
      </c>
      <c r="H97" s="21">
        <v>3.6261736027164771E-84</v>
      </c>
      <c r="I97" s="14" t="s">
        <v>124</v>
      </c>
      <c r="J97" s="14">
        <v>4</v>
      </c>
      <c r="K97" s="14">
        <f t="shared" si="9"/>
        <v>2.0833333333333333E-3</v>
      </c>
      <c r="L97" s="21">
        <f t="shared" si="10"/>
        <v>8.702816646519545E-83</v>
      </c>
      <c r="M97" s="14" t="str">
        <f t="shared" si="11"/>
        <v>significant</v>
      </c>
    </row>
    <row r="100" spans="1:20" x14ac:dyDescent="0.2">
      <c r="C100" t="s">
        <v>189</v>
      </c>
    </row>
    <row r="107" spans="1:20" x14ac:dyDescent="0.2">
      <c r="T107" s="23" t="s">
        <v>134</v>
      </c>
    </row>
    <row r="108" spans="1:20" x14ac:dyDescent="0.2">
      <c r="T108" s="23" t="s">
        <v>137</v>
      </c>
    </row>
    <row r="109" spans="1:20" x14ac:dyDescent="0.2">
      <c r="T109" s="23" t="s">
        <v>134</v>
      </c>
    </row>
    <row r="110" spans="1:20" x14ac:dyDescent="0.2">
      <c r="T110" s="23" t="s">
        <v>137</v>
      </c>
    </row>
    <row r="111" spans="1:20" x14ac:dyDescent="0.2">
      <c r="T111" s="23" t="s">
        <v>134</v>
      </c>
    </row>
    <row r="112" spans="1:20" x14ac:dyDescent="0.2">
      <c r="T112" s="23" t="s">
        <v>137</v>
      </c>
    </row>
    <row r="113" spans="20:20" x14ac:dyDescent="0.2">
      <c r="T113" s="23" t="s">
        <v>134</v>
      </c>
    </row>
    <row r="114" spans="20:20" x14ac:dyDescent="0.2">
      <c r="T114" s="23" t="s">
        <v>137</v>
      </c>
    </row>
    <row r="115" spans="20:20" x14ac:dyDescent="0.2">
      <c r="T115" s="23" t="s">
        <v>134</v>
      </c>
    </row>
    <row r="116" spans="20:20" x14ac:dyDescent="0.2">
      <c r="T116" s="23" t="s">
        <v>137</v>
      </c>
    </row>
    <row r="117" spans="20:20" x14ac:dyDescent="0.2">
      <c r="T117" s="23" t="s">
        <v>134</v>
      </c>
    </row>
    <row r="118" spans="20:20" x14ac:dyDescent="0.2">
      <c r="T118" s="23" t="s">
        <v>137</v>
      </c>
    </row>
    <row r="119" spans="20:20" x14ac:dyDescent="0.2">
      <c r="T119" s="23" t="s">
        <v>134</v>
      </c>
    </row>
    <row r="120" spans="20:20" x14ac:dyDescent="0.2">
      <c r="T120" s="23" t="s">
        <v>137</v>
      </c>
    </row>
    <row r="121" spans="20:20" x14ac:dyDescent="0.2">
      <c r="T121" s="23" t="s">
        <v>134</v>
      </c>
    </row>
    <row r="122" spans="20:20" x14ac:dyDescent="0.2">
      <c r="T122" s="23" t="s">
        <v>137</v>
      </c>
    </row>
    <row r="123" spans="20:20" x14ac:dyDescent="0.2">
      <c r="T123" s="23" t="s">
        <v>140</v>
      </c>
    </row>
    <row r="124" spans="20:20" x14ac:dyDescent="0.2">
      <c r="T124" s="23" t="s">
        <v>144</v>
      </c>
    </row>
    <row r="125" spans="20:20" x14ac:dyDescent="0.2">
      <c r="T125" s="23" t="s">
        <v>140</v>
      </c>
    </row>
    <row r="126" spans="20:20" x14ac:dyDescent="0.2">
      <c r="T126" s="23" t="s">
        <v>144</v>
      </c>
    </row>
    <row r="127" spans="20:20" x14ac:dyDescent="0.2">
      <c r="T127" s="23" t="s">
        <v>140</v>
      </c>
    </row>
    <row r="128" spans="20:20" x14ac:dyDescent="0.2">
      <c r="T128" s="23" t="s">
        <v>144</v>
      </c>
    </row>
    <row r="129" spans="20:20" x14ac:dyDescent="0.2">
      <c r="T129" s="23" t="s">
        <v>140</v>
      </c>
    </row>
    <row r="130" spans="20:20" x14ac:dyDescent="0.2">
      <c r="T130" s="23" t="s">
        <v>144</v>
      </c>
    </row>
    <row r="131" spans="20:20" x14ac:dyDescent="0.2">
      <c r="T131" s="23" t="s">
        <v>140</v>
      </c>
    </row>
    <row r="132" spans="20:20" x14ac:dyDescent="0.2">
      <c r="T132" s="23" t="s">
        <v>144</v>
      </c>
    </row>
    <row r="133" spans="20:20" x14ac:dyDescent="0.2">
      <c r="T133" s="23" t="s">
        <v>140</v>
      </c>
    </row>
    <row r="134" spans="20:20" x14ac:dyDescent="0.2">
      <c r="T134" s="23" t="s">
        <v>144</v>
      </c>
    </row>
    <row r="135" spans="20:20" x14ac:dyDescent="0.2">
      <c r="T135" s="23" t="s">
        <v>140</v>
      </c>
    </row>
    <row r="136" spans="20:20" x14ac:dyDescent="0.2">
      <c r="T136" s="23" t="s">
        <v>144</v>
      </c>
    </row>
    <row r="137" spans="20:20" x14ac:dyDescent="0.2">
      <c r="T137" s="23" t="s">
        <v>140</v>
      </c>
    </row>
    <row r="138" spans="20:20" x14ac:dyDescent="0.2">
      <c r="T138" s="24" t="s">
        <v>144</v>
      </c>
    </row>
  </sheetData>
  <conditionalFormatting sqref="A1:M97">
    <cfRule type="cellIs" dxfId="0" priority="1" operator="between">
      <formula>$T$107</formula>
      <formula>$T$138</formula>
    </cfRule>
  </conditionalFormatting>
  <pageMargins left="0.25" right="0.25" top="0.75" bottom="0.75" header="0.3" footer="0.3"/>
  <pageSetup paperSize="9" scale="49" fitToHeight="5" orientation="landscape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ablation studies qg</vt:lpstr>
      <vt:lpstr>ablation studies ae</vt:lpstr>
      <vt:lpstr>t-test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Editor</dc:creator>
  <cp:lastModifiedBy>Editor</cp:lastModifiedBy>
  <cp:lastPrinted>2026-03-03T06:36:07Z</cp:lastPrinted>
  <dcterms:created xsi:type="dcterms:W3CDTF">2025-10-28T05:43:19Z</dcterms:created>
  <dcterms:modified xsi:type="dcterms:W3CDTF">2026-03-03T06:36:09Z</dcterms:modified>
</cp:coreProperties>
</file>